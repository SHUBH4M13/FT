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ocuments\"/>
    </mc:Choice>
  </mc:AlternateContent>
  <xr:revisionPtr revIDLastSave="0" documentId="13_ncr:1_{1B522808-635E-4369-89AF-73152C286778}" xr6:coauthVersionLast="47" xr6:coauthVersionMax="47" xr10:uidLastSave="{00000000-0000-0000-0000-000000000000}"/>
  <bookViews>
    <workbookView xWindow="-120" yWindow="-120" windowWidth="20730" windowHeight="11160" firstSheet="9" activeTab="11" xr2:uid="{FB5BC5C9-9BC2-40F5-BA07-23E5499818DC}"/>
  </bookViews>
  <sheets>
    <sheet name="MM-I" sheetId="2" r:id="rId1"/>
    <sheet name="MM-II" sheetId="3" r:id="rId2"/>
    <sheet name="Interest Tax Deduction" sheetId="4" r:id="rId3"/>
    <sheet name="Interest Tax Shield" sheetId="5" r:id="rId4"/>
    <sheet name="Recapitalization" sheetId="6" r:id="rId5"/>
    <sheet name="Pers Taxes in Capital Structure" sheetId="7" r:id="rId6"/>
    <sheet name="Optimal Capital Structure" sheetId="8" r:id="rId7"/>
    <sheet name="Bankruptcy &amp; Financial Distress" sheetId="9" r:id="rId8"/>
    <sheet name="Financial Distress &amp; Firm Value" sheetId="10" r:id="rId9"/>
    <sheet name="Trade-Off Theory" sheetId="11" r:id="rId10"/>
    <sheet name="Risk and Return" sheetId="12" r:id="rId11"/>
    <sheet name="Measures of Risk &amp; Return" sheetId="13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3" l="1"/>
  <c r="C16" i="3" s="1"/>
  <c r="C12" i="2"/>
  <c r="C14" i="2" s="1"/>
  <c r="C34" i="13"/>
  <c r="D22" i="13"/>
  <c r="D20" i="13"/>
  <c r="C20" i="13"/>
  <c r="D18" i="13"/>
  <c r="C18" i="13"/>
  <c r="D16" i="13"/>
  <c r="C16" i="13"/>
  <c r="D14" i="13"/>
  <c r="C14" i="13"/>
  <c r="C28" i="13"/>
  <c r="C26" i="13"/>
  <c r="C24" i="13"/>
  <c r="C22" i="13"/>
  <c r="D16" i="12"/>
  <c r="C16" i="12"/>
  <c r="D14" i="12"/>
  <c r="C14" i="12"/>
  <c r="C18" i="11"/>
  <c r="C20" i="11"/>
  <c r="C16" i="11"/>
  <c r="C16" i="10"/>
  <c r="C18" i="10"/>
  <c r="C20" i="10"/>
  <c r="C14" i="11"/>
  <c r="C22" i="10"/>
  <c r="C18" i="9"/>
  <c r="C14" i="9"/>
  <c r="C14" i="8"/>
  <c r="C16" i="9"/>
  <c r="C18" i="8"/>
  <c r="C16" i="8"/>
  <c r="C12" i="7"/>
  <c r="C10" i="7"/>
  <c r="C22" i="6"/>
  <c r="C20" i="6"/>
  <c r="C18" i="6"/>
  <c r="C16" i="6"/>
  <c r="C14" i="6"/>
  <c r="C12" i="5"/>
  <c r="C10" i="5"/>
  <c r="C14" i="4"/>
  <c r="C12" i="4"/>
  <c r="C10" i="4"/>
  <c r="C14" i="3"/>
  <c r="C12" i="3"/>
  <c r="C30" i="13" l="1"/>
  <c r="C32" i="13"/>
</calcChain>
</file>

<file path=xl/sharedStrings.xml><?xml version="1.0" encoding="utf-8"?>
<sst xmlns="http://schemas.openxmlformats.org/spreadsheetml/2006/main" count="106" uniqueCount="69">
  <si>
    <t>Equity Value of Firm</t>
  </si>
  <si>
    <t>Value of Unleveraged Firm</t>
  </si>
  <si>
    <t>Corporate Tax Rate</t>
  </si>
  <si>
    <t>Debt Interest Rate</t>
  </si>
  <si>
    <t>Cost of Equity for Unleveraged</t>
  </si>
  <si>
    <t>EBIT</t>
  </si>
  <si>
    <t>Modigliani-Miller Proposition - I</t>
  </si>
  <si>
    <t>WACC</t>
  </si>
  <si>
    <t>D/V</t>
  </si>
  <si>
    <t>E/V</t>
  </si>
  <si>
    <t>Levered Cost of Equity (rE)</t>
  </si>
  <si>
    <t>D/E ratio</t>
  </si>
  <si>
    <t>Cost of debt (rD)</t>
  </si>
  <si>
    <t>Unlevered cost of equity (rU)</t>
  </si>
  <si>
    <t>Modigliani-Miller Proposition - II</t>
  </si>
  <si>
    <t>Interest Tax Deduction</t>
  </si>
  <si>
    <t>Debt</t>
  </si>
  <si>
    <t>Interest Rate</t>
  </si>
  <si>
    <t>Tax Rate</t>
  </si>
  <si>
    <t>Interest</t>
  </si>
  <si>
    <t>Tax Shield</t>
  </si>
  <si>
    <t>After-Tax Cost of Debt</t>
  </si>
  <si>
    <t>Valuing the Interest Tax Shield</t>
  </si>
  <si>
    <t>PV (Tax Shield)</t>
  </si>
  <si>
    <t>Recapitalization</t>
  </si>
  <si>
    <t>Current firm value (VU)</t>
  </si>
  <si>
    <t>New debt (D)</t>
  </si>
  <si>
    <t>Tax rate (T)</t>
  </si>
  <si>
    <t>Shares outstanding</t>
  </si>
  <si>
    <t>Share price</t>
  </si>
  <si>
    <t>Pv (Tax shield)</t>
  </si>
  <si>
    <t>New Firm Value</t>
  </si>
  <si>
    <t>Number of Shares Repurchased</t>
  </si>
  <si>
    <t>New Shares Outstanding</t>
  </si>
  <si>
    <t>New Share Price</t>
  </si>
  <si>
    <t>Personal Taxes in Capital Structure</t>
  </si>
  <si>
    <t>Corporate tax (TC)</t>
  </si>
  <si>
    <t>Personal tax on interest (TpD)</t>
  </si>
  <si>
    <t>Personal tax on equity (TpE)</t>
  </si>
  <si>
    <t>Effective Tax Advantage of Debt</t>
  </si>
  <si>
    <t>Unlevered firm Value (Vu)</t>
  </si>
  <si>
    <t>Debt (D)</t>
  </si>
  <si>
    <t xml:space="preserve">Tax rate </t>
  </si>
  <si>
    <t>Distress Probability</t>
  </si>
  <si>
    <t>Expected Distress Cost</t>
  </si>
  <si>
    <t>Levered Firm Value</t>
  </si>
  <si>
    <t>The Costs of Bankruptcy and Financial Distress</t>
  </si>
  <si>
    <t>Financial Distress Costs and Firm Value</t>
  </si>
  <si>
    <t>`</t>
  </si>
  <si>
    <t>Distress Cost</t>
  </si>
  <si>
    <t>Net Gain</t>
  </si>
  <si>
    <t>Optimal Capital Structure with Taxes</t>
  </si>
  <si>
    <t>The Trade-Off Theory</t>
  </si>
  <si>
    <t>Standard Deviation (Risk)</t>
  </si>
  <si>
    <t>Average Return</t>
  </si>
  <si>
    <t>Bond B</t>
  </si>
  <si>
    <t>Stock A</t>
  </si>
  <si>
    <t>Year</t>
  </si>
  <si>
    <t>Risk and Return</t>
  </si>
  <si>
    <t>Jensen's Alpha</t>
  </si>
  <si>
    <t>Treynor Ratio</t>
  </si>
  <si>
    <t>Sharpe Ratio (Risk-Adjusted Returns)</t>
  </si>
  <si>
    <t>Beta (Systematic Risk)</t>
  </si>
  <si>
    <t>Correlation Coefficient</t>
  </si>
  <si>
    <t>Covariance Between Assets</t>
  </si>
  <si>
    <t>Coefficient of Variance (CV)</t>
  </si>
  <si>
    <t>Variance of Returns</t>
  </si>
  <si>
    <t>Geometric Average Return</t>
  </si>
  <si>
    <t>Arithmetic Average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</si>
</sst>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₹&quot;\ #,##0.00"/>
    <numFmt numFmtId="165" formatCode="0.0%"/>
    <numFmt numFmtId="166" formatCode="0.000"/>
    <numFmt numFmtId="167" formatCode="0.000%"/>
    <numFmt numFmtId="168" formatCode="0.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2" tint="-9.9978637043366805E-2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1"/>
      </top>
      <bottom style="thin">
        <color theme="1"/>
      </bottom>
      <diagonal/>
    </border>
    <border>
      <left style="thin">
        <color theme="2" tint="-9.9978637043366805E-2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2" tint="-9.9978637043366805E-2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0" fillId="0" borderId="1" xfId="0" applyBorder="1"/>
    <xf numFmtId="0" fontId="0" fillId="0" borderId="2" xfId="0" applyBorder="1"/>
    <xf numFmtId="0" fontId="3" fillId="0" borderId="5" xfId="0" applyFont="1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2" fillId="2" borderId="21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164" fontId="3" fillId="4" borderId="5" xfId="1" applyNumberFormat="1" applyFont="1" applyFill="1" applyBorder="1" applyAlignment="1">
      <alignment horizontal="center"/>
    </xf>
    <xf numFmtId="9" fontId="3" fillId="4" borderId="5" xfId="0" applyNumberFormat="1" applyFont="1" applyFill="1" applyBorder="1" applyAlignment="1">
      <alignment horizontal="center"/>
    </xf>
    <xf numFmtId="10" fontId="3" fillId="4" borderId="5" xfId="0" applyNumberFormat="1" applyFont="1" applyFill="1" applyBorder="1" applyAlignment="1">
      <alignment horizontal="center"/>
    </xf>
    <xf numFmtId="164" fontId="3" fillId="4" borderId="5" xfId="0" applyNumberFormat="1" applyFont="1" applyFill="1" applyBorder="1" applyAlignment="1">
      <alignment horizontal="center"/>
    </xf>
    <xf numFmtId="0" fontId="0" fillId="4" borderId="0" xfId="0" applyFill="1"/>
    <xf numFmtId="0" fontId="2" fillId="4" borderId="5" xfId="0" applyFont="1" applyFill="1" applyBorder="1" applyAlignment="1">
      <alignment horizontal="center"/>
    </xf>
    <xf numFmtId="164" fontId="2" fillId="4" borderId="5" xfId="0" applyNumberFormat="1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164" fontId="2" fillId="4" borderId="3" xfId="0" applyNumberFormat="1" applyFont="1" applyFill="1" applyBorder="1" applyAlignment="1">
      <alignment horizontal="center"/>
    </xf>
    <xf numFmtId="10" fontId="3" fillId="4" borderId="5" xfId="1" applyNumberFormat="1" applyFont="1" applyFill="1" applyBorder="1" applyAlignment="1">
      <alignment horizontal="center"/>
    </xf>
    <xf numFmtId="2" fontId="3" fillId="4" borderId="5" xfId="0" applyNumberFormat="1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10" fontId="2" fillId="4" borderId="5" xfId="0" applyNumberFormat="1" applyFont="1" applyFill="1" applyBorder="1" applyAlignment="1">
      <alignment horizontal="center"/>
    </xf>
    <xf numFmtId="2" fontId="2" fillId="4" borderId="5" xfId="0" applyNumberFormat="1" applyFont="1" applyFill="1" applyBorder="1" applyAlignment="1">
      <alignment horizontal="center"/>
    </xf>
    <xf numFmtId="2" fontId="2" fillId="4" borderId="3" xfId="0" applyNumberFormat="1" applyFont="1" applyFill="1" applyBorder="1" applyAlignment="1">
      <alignment horizontal="center"/>
    </xf>
    <xf numFmtId="0" fontId="0" fillId="4" borderId="7" xfId="0" applyFill="1" applyBorder="1"/>
    <xf numFmtId="0" fontId="2" fillId="4" borderId="3" xfId="0" applyFont="1" applyFill="1" applyBorder="1" applyAlignment="1">
      <alignment horizontal="center"/>
    </xf>
    <xf numFmtId="10" fontId="2" fillId="4" borderId="3" xfId="0" applyNumberFormat="1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3" fillId="4" borderId="16" xfId="0" applyFont="1" applyFill="1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2" fontId="2" fillId="4" borderId="18" xfId="0" applyNumberFormat="1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164" fontId="2" fillId="4" borderId="18" xfId="0" applyNumberFormat="1" applyFont="1" applyFill="1" applyBorder="1" applyAlignment="1">
      <alignment horizontal="center"/>
    </xf>
    <xf numFmtId="165" fontId="3" fillId="4" borderId="5" xfId="1" applyNumberFormat="1" applyFont="1" applyFill="1" applyBorder="1" applyAlignment="1">
      <alignment horizontal="center"/>
    </xf>
    <xf numFmtId="165" fontId="3" fillId="4" borderId="5" xfId="0" applyNumberFormat="1" applyFont="1" applyFill="1" applyBorder="1" applyAlignment="1">
      <alignment horizontal="center"/>
    </xf>
    <xf numFmtId="166" fontId="2" fillId="4" borderId="5" xfId="0" applyNumberFormat="1" applyFont="1" applyFill="1" applyBorder="1" applyAlignment="1">
      <alignment horizontal="center"/>
    </xf>
    <xf numFmtId="165" fontId="2" fillId="4" borderId="5" xfId="0" applyNumberFormat="1" applyFont="1" applyFill="1" applyBorder="1" applyAlignment="1">
      <alignment horizontal="center"/>
    </xf>
    <xf numFmtId="0" fontId="3" fillId="4" borderId="18" xfId="0" applyFont="1" applyFill="1" applyBorder="1"/>
    <xf numFmtId="0" fontId="3" fillId="4" borderId="18" xfId="0" applyFont="1" applyFill="1" applyBorder="1" applyAlignment="1">
      <alignment horizontal="center"/>
    </xf>
    <xf numFmtId="9" fontId="3" fillId="4" borderId="18" xfId="1" applyFont="1" applyFill="1" applyBorder="1" applyAlignment="1">
      <alignment horizontal="center"/>
    </xf>
    <xf numFmtId="9" fontId="3" fillId="4" borderId="18" xfId="0" applyNumberFormat="1" applyFont="1" applyFill="1" applyBorder="1" applyAlignment="1">
      <alignment horizontal="center"/>
    </xf>
    <xf numFmtId="0" fontId="0" fillId="4" borderId="19" xfId="0" applyFill="1" applyBorder="1"/>
    <xf numFmtId="0" fontId="3" fillId="4" borderId="19" xfId="0" applyFont="1" applyFill="1" applyBorder="1" applyAlignment="1">
      <alignment horizontal="center"/>
    </xf>
    <xf numFmtId="10" fontId="2" fillId="4" borderId="18" xfId="0" applyNumberFormat="1" applyFont="1" applyFill="1" applyBorder="1" applyAlignment="1">
      <alignment horizontal="center"/>
    </xf>
    <xf numFmtId="0" fontId="0" fillId="4" borderId="20" xfId="0" applyFill="1" applyBorder="1"/>
    <xf numFmtId="165" fontId="2" fillId="4" borderId="18" xfId="0" applyNumberFormat="1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4" fillId="4" borderId="0" xfId="0" applyFont="1" applyFill="1"/>
    <xf numFmtId="167" fontId="2" fillId="4" borderId="18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10" fontId="2" fillId="4" borderId="4" xfId="0" applyNumberFormat="1" applyFont="1" applyFill="1" applyBorder="1" applyAlignment="1">
      <alignment horizontal="center"/>
    </xf>
    <xf numFmtId="10" fontId="2" fillId="4" borderId="21" xfId="0" applyNumberFormat="1" applyFont="1" applyFill="1" applyBorder="1" applyAlignment="1">
      <alignment horizontal="center"/>
    </xf>
    <xf numFmtId="168" fontId="2" fillId="4" borderId="4" xfId="0" applyNumberFormat="1" applyFont="1" applyFill="1" applyBorder="1" applyAlignment="1">
      <alignment horizontal="center"/>
    </xf>
    <xf numFmtId="168" fontId="2" fillId="4" borderId="21" xfId="0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ADA99-D089-4B43-B4B3-E7D0E4BE7727}">
  <dimension ref="B2:D15"/>
  <sheetViews>
    <sheetView zoomScale="131" workbookViewId="0">
      <selection activeCell="C12" sqref="C12"/>
    </sheetView>
  </sheetViews>
  <sheetFormatPr defaultRowHeight="15" x14ac:dyDescent="0.25"/>
  <cols>
    <col min="2" max="2" width="31.5703125" customWidth="1"/>
    <col min="3" max="3" width="17.5703125" customWidth="1"/>
  </cols>
  <sheetData>
    <row r="2" spans="2:4" x14ac:dyDescent="0.25">
      <c r="B2" s="55" t="s">
        <v>6</v>
      </c>
      <c r="C2" s="55"/>
    </row>
    <row r="3" spans="2:4" ht="3" customHeight="1" x14ac:dyDescent="0.25">
      <c r="B3" s="3"/>
      <c r="C3" s="3"/>
    </row>
    <row r="4" spans="2:4" x14ac:dyDescent="0.25">
      <c r="B4" s="12" t="s">
        <v>5</v>
      </c>
      <c r="C4" s="13">
        <v>100000</v>
      </c>
    </row>
    <row r="5" spans="2:4" ht="3" customHeight="1" x14ac:dyDescent="0.25">
      <c r="B5" s="12"/>
      <c r="C5" s="12"/>
    </row>
    <row r="6" spans="2:4" x14ac:dyDescent="0.25">
      <c r="B6" s="12" t="s">
        <v>4</v>
      </c>
      <c r="C6" s="14">
        <v>0.1</v>
      </c>
    </row>
    <row r="7" spans="2:4" ht="3" customHeight="1" x14ac:dyDescent="0.25">
      <c r="B7" s="12"/>
      <c r="C7" s="12"/>
    </row>
    <row r="8" spans="2:4" x14ac:dyDescent="0.25">
      <c r="B8" s="12" t="s">
        <v>3</v>
      </c>
      <c r="C8" s="15">
        <v>0.05</v>
      </c>
    </row>
    <row r="9" spans="2:4" ht="3.6" customHeight="1" x14ac:dyDescent="0.25">
      <c r="B9" s="12"/>
      <c r="C9" s="12"/>
    </row>
    <row r="10" spans="2:4" x14ac:dyDescent="0.25">
      <c r="B10" s="12" t="s">
        <v>2</v>
      </c>
      <c r="C10" s="16">
        <v>200000</v>
      </c>
    </row>
    <row r="11" spans="2:4" ht="3" customHeight="1" x14ac:dyDescent="0.25">
      <c r="B11" s="17"/>
      <c r="C11" s="17"/>
    </row>
    <row r="12" spans="2:4" x14ac:dyDescent="0.25">
      <c r="B12" s="18" t="s">
        <v>1</v>
      </c>
      <c r="C12" s="19">
        <f>C4/C6</f>
        <v>1000000</v>
      </c>
    </row>
    <row r="13" spans="2:4" ht="3" customHeight="1" x14ac:dyDescent="0.25">
      <c r="B13" s="17"/>
      <c r="C13" s="17"/>
    </row>
    <row r="14" spans="2:4" x14ac:dyDescent="0.25">
      <c r="B14" s="20" t="s">
        <v>0</v>
      </c>
      <c r="C14" s="21">
        <f>C12-C10</f>
        <v>800000</v>
      </c>
      <c r="D14" s="2"/>
    </row>
    <row r="15" spans="2:4" x14ac:dyDescent="0.25">
      <c r="C15" s="1"/>
    </row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90B21-15A9-433C-A679-6C2C9C3F277A}">
  <dimension ref="A2:D17"/>
  <sheetViews>
    <sheetView zoomScale="202" workbookViewId="0">
      <selection activeCell="B12" sqref="B12"/>
    </sheetView>
  </sheetViews>
  <sheetFormatPr defaultRowHeight="15" x14ac:dyDescent="0.25"/>
  <cols>
    <col min="2" max="2" width="30.5703125" customWidth="1"/>
    <col min="3" max="3" width="17.42578125" customWidth="1"/>
  </cols>
  <sheetData>
    <row r="2" spans="1:4" x14ac:dyDescent="0.25">
      <c r="B2" s="55" t="s">
        <v>14</v>
      </c>
      <c r="C2" s="55"/>
    </row>
    <row r="3" spans="1:4" ht="4.1500000000000004" customHeight="1" x14ac:dyDescent="0.25">
      <c r="B3" s="3"/>
      <c r="C3" s="3"/>
    </row>
    <row r="4" spans="1:4" x14ac:dyDescent="0.25">
      <c r="B4" s="12" t="s">
        <v>13</v>
      </c>
      <c r="C4" s="22">
        <v>0.1</v>
      </c>
    </row>
    <row r="5" spans="1:4" ht="4.1500000000000004" customHeight="1" x14ac:dyDescent="0.25">
      <c r="B5" s="12"/>
      <c r="C5" s="12"/>
    </row>
    <row r="6" spans="1:4" x14ac:dyDescent="0.25">
      <c r="B6" s="12" t="s">
        <v>12</v>
      </c>
      <c r="C6" s="15">
        <v>0.05</v>
      </c>
    </row>
    <row r="7" spans="1:4" ht="4.1500000000000004" customHeight="1" x14ac:dyDescent="0.25">
      <c r="B7" s="12"/>
      <c r="C7" s="12"/>
    </row>
    <row r="8" spans="1:4" x14ac:dyDescent="0.25">
      <c r="B8" s="12" t="s">
        <v>11</v>
      </c>
      <c r="C8" s="23">
        <v>0.25</v>
      </c>
    </row>
    <row r="9" spans="1:4" ht="4.1500000000000004" customHeight="1" x14ac:dyDescent="0.25">
      <c r="A9" s="7"/>
      <c r="B9" s="24"/>
      <c r="C9" s="25"/>
      <c r="D9" s="8"/>
    </row>
    <row r="10" spans="1:4" x14ac:dyDescent="0.25">
      <c r="B10" s="18" t="s">
        <v>10</v>
      </c>
      <c r="C10" s="26">
        <f>C4+C8*(C4-C6)</f>
        <v>0.1125</v>
      </c>
    </row>
    <row r="11" spans="1:4" ht="4.1500000000000004" customHeight="1" x14ac:dyDescent="0.25">
      <c r="B11" s="17"/>
      <c r="C11" s="17"/>
    </row>
    <row r="12" spans="1:4" x14ac:dyDescent="0.25">
      <c r="B12" s="18" t="s">
        <v>9</v>
      </c>
      <c r="C12" s="27">
        <f>1/(1+C8)</f>
        <v>0.8</v>
      </c>
    </row>
    <row r="13" spans="1:4" ht="3.6" customHeight="1" x14ac:dyDescent="0.25">
      <c r="B13" s="17"/>
      <c r="C13" s="17"/>
    </row>
    <row r="14" spans="1:4" x14ac:dyDescent="0.25">
      <c r="B14" s="20" t="s">
        <v>8</v>
      </c>
      <c r="C14" s="28">
        <f>C8/(1+C8)</f>
        <v>0.2</v>
      </c>
      <c r="D14" s="2"/>
    </row>
    <row r="15" spans="1:4" ht="4.1500000000000004" customHeight="1" x14ac:dyDescent="0.25">
      <c r="B15" s="17"/>
      <c r="C15" s="29"/>
    </row>
    <row r="16" spans="1:4" x14ac:dyDescent="0.25">
      <c r="A16" s="4"/>
      <c r="B16" s="30" t="s">
        <v>7</v>
      </c>
      <c r="C16" s="31">
        <f>(C12*C10)+(C14*C6)</f>
        <v>0.1</v>
      </c>
      <c r="D16" s="2"/>
    </row>
    <row r="17" spans="2:3" x14ac:dyDescent="0.25">
      <c r="B17" s="1"/>
      <c r="C17" s="1"/>
    </row>
  </sheetData>
  <mergeCells count="1"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86559-CE73-426B-A9A7-FF1526499F6A}">
  <dimension ref="B2:D15"/>
  <sheetViews>
    <sheetView zoomScale="136" workbookViewId="0">
      <selection activeCell="C19" sqref="C19"/>
    </sheetView>
  </sheetViews>
  <sheetFormatPr defaultRowHeight="15" x14ac:dyDescent="0.25"/>
  <cols>
    <col min="2" max="2" width="26.7109375" customWidth="1"/>
    <col min="3" max="3" width="17.7109375" customWidth="1"/>
  </cols>
  <sheetData>
    <row r="2" spans="2:4" x14ac:dyDescent="0.25">
      <c r="B2" s="55" t="s">
        <v>15</v>
      </c>
      <c r="C2" s="55"/>
    </row>
    <row r="3" spans="2:4" ht="4.1500000000000004" customHeight="1" x14ac:dyDescent="0.25">
      <c r="B3" s="3"/>
      <c r="C3" s="3"/>
    </row>
    <row r="4" spans="2:4" x14ac:dyDescent="0.25">
      <c r="B4" s="12" t="s">
        <v>16</v>
      </c>
      <c r="C4" s="13">
        <v>100000</v>
      </c>
    </row>
    <row r="5" spans="2:4" ht="4.1500000000000004" customHeight="1" x14ac:dyDescent="0.25">
      <c r="B5" s="12"/>
      <c r="C5" s="12"/>
    </row>
    <row r="6" spans="2:4" x14ac:dyDescent="0.25">
      <c r="B6" s="12" t="s">
        <v>17</v>
      </c>
      <c r="C6" s="15">
        <v>0.1</v>
      </c>
    </row>
    <row r="7" spans="2:4" ht="4.1500000000000004" customHeight="1" x14ac:dyDescent="0.25">
      <c r="B7" s="12"/>
      <c r="C7" s="12"/>
    </row>
    <row r="8" spans="2:4" x14ac:dyDescent="0.25">
      <c r="B8" s="12" t="s">
        <v>18</v>
      </c>
      <c r="C8" s="15">
        <v>0.3</v>
      </c>
    </row>
    <row r="9" spans="2:4" ht="4.1500000000000004" customHeight="1" x14ac:dyDescent="0.25">
      <c r="B9" s="32"/>
      <c r="C9" s="33"/>
      <c r="D9" s="8"/>
    </row>
    <row r="10" spans="2:4" x14ac:dyDescent="0.25">
      <c r="B10" s="18" t="s">
        <v>19</v>
      </c>
      <c r="C10" s="19">
        <f>C4*C6</f>
        <v>10000</v>
      </c>
    </row>
    <row r="11" spans="2:4" ht="4.1500000000000004" customHeight="1" x14ac:dyDescent="0.25">
      <c r="B11" s="17"/>
      <c r="C11" s="17"/>
    </row>
    <row r="12" spans="2:4" x14ac:dyDescent="0.25">
      <c r="B12" s="18" t="s">
        <v>20</v>
      </c>
      <c r="C12" s="19">
        <f>(C4*C6)*C8</f>
        <v>3000</v>
      </c>
    </row>
    <row r="13" spans="2:4" ht="4.9000000000000004" customHeight="1" x14ac:dyDescent="0.25">
      <c r="B13" s="17"/>
      <c r="C13" s="17"/>
    </row>
    <row r="14" spans="2:4" x14ac:dyDescent="0.25">
      <c r="B14" s="20" t="s">
        <v>21</v>
      </c>
      <c r="C14" s="31">
        <f>C6*(1-C8)</f>
        <v>6.9999999999999993E-2</v>
      </c>
      <c r="D14" s="5"/>
    </row>
    <row r="15" spans="2:4" x14ac:dyDescent="0.25">
      <c r="C15" s="6"/>
    </row>
  </sheetData>
  <mergeCells count="1">
    <mergeCell ref="B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E17F8-1BF2-4F53-B270-A47D601380F9}">
  <dimension ref="A2:D12"/>
  <sheetViews>
    <sheetView zoomScale="204" workbookViewId="0">
      <selection activeCell="B4" sqref="B4:C12"/>
    </sheetView>
  </sheetViews>
  <sheetFormatPr defaultRowHeight="15" x14ac:dyDescent="0.25"/>
  <cols>
    <col min="2" max="2" width="25.7109375" customWidth="1"/>
    <col min="3" max="3" width="18.140625" customWidth="1"/>
  </cols>
  <sheetData>
    <row r="2" spans="1:4" x14ac:dyDescent="0.25">
      <c r="B2" s="55" t="s">
        <v>22</v>
      </c>
      <c r="C2" s="55"/>
    </row>
    <row r="3" spans="1:4" ht="4.1500000000000004" customHeight="1" x14ac:dyDescent="0.25">
      <c r="B3" s="3"/>
      <c r="C3" s="3"/>
    </row>
    <row r="4" spans="1:4" x14ac:dyDescent="0.25">
      <c r="B4" s="12" t="s">
        <v>16</v>
      </c>
      <c r="C4" s="13">
        <v>500000</v>
      </c>
    </row>
    <row r="5" spans="1:4" ht="4.1500000000000004" customHeight="1" x14ac:dyDescent="0.25">
      <c r="B5" s="12"/>
      <c r="C5" s="12"/>
    </row>
    <row r="6" spans="1:4" x14ac:dyDescent="0.25">
      <c r="B6" s="12" t="s">
        <v>17</v>
      </c>
      <c r="C6" s="14">
        <v>0.12</v>
      </c>
    </row>
    <row r="7" spans="1:4" ht="4.1500000000000004" customHeight="1" x14ac:dyDescent="0.25">
      <c r="B7" s="12"/>
      <c r="C7" s="12"/>
    </row>
    <row r="8" spans="1:4" x14ac:dyDescent="0.25">
      <c r="B8" s="12" t="s">
        <v>18</v>
      </c>
      <c r="C8" s="15">
        <v>0.3</v>
      </c>
    </row>
    <row r="9" spans="1:4" ht="4.1500000000000004" customHeight="1" x14ac:dyDescent="0.25">
      <c r="A9" s="7"/>
      <c r="B9" s="33"/>
      <c r="C9" s="34"/>
      <c r="D9" s="8"/>
    </row>
    <row r="10" spans="1:4" x14ac:dyDescent="0.25">
      <c r="B10" s="18" t="s">
        <v>20</v>
      </c>
      <c r="C10" s="19">
        <f>(C4*C6)*C8</f>
        <v>18000</v>
      </c>
    </row>
    <row r="11" spans="1:4" ht="4.1500000000000004" customHeight="1" x14ac:dyDescent="0.25">
      <c r="B11" s="17"/>
      <c r="C11" s="17"/>
    </row>
    <row r="12" spans="1:4" x14ac:dyDescent="0.25">
      <c r="B12" s="18" t="s">
        <v>23</v>
      </c>
      <c r="C12" s="19">
        <f>C8*C4</f>
        <v>150000</v>
      </c>
    </row>
  </sheetData>
  <mergeCells count="1">
    <mergeCell ref="B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C8703-B8E9-4C59-A368-3B71EDA1037F}">
  <dimension ref="B2:D23"/>
  <sheetViews>
    <sheetView zoomScale="128" workbookViewId="0">
      <selection activeCell="E10" sqref="E10"/>
    </sheetView>
  </sheetViews>
  <sheetFormatPr defaultRowHeight="15" x14ac:dyDescent="0.25"/>
  <cols>
    <col min="2" max="2" width="30.28515625" customWidth="1"/>
    <col min="3" max="3" width="20.85546875" customWidth="1"/>
  </cols>
  <sheetData>
    <row r="2" spans="2:4" x14ac:dyDescent="0.25">
      <c r="B2" s="55" t="s">
        <v>24</v>
      </c>
      <c r="C2" s="55"/>
    </row>
    <row r="3" spans="2:4" ht="4.1500000000000004" customHeight="1" x14ac:dyDescent="0.25">
      <c r="B3" s="3"/>
      <c r="C3" s="3"/>
    </row>
    <row r="4" spans="2:4" x14ac:dyDescent="0.25">
      <c r="B4" s="12" t="s">
        <v>25</v>
      </c>
      <c r="C4" s="13">
        <v>1000000000</v>
      </c>
    </row>
    <row r="5" spans="2:4" ht="4.1500000000000004" customHeight="1" x14ac:dyDescent="0.25">
      <c r="B5" s="12"/>
      <c r="C5" s="12"/>
    </row>
    <row r="6" spans="2:4" x14ac:dyDescent="0.25">
      <c r="B6" s="12" t="s">
        <v>26</v>
      </c>
      <c r="C6" s="16">
        <v>400000000</v>
      </c>
    </row>
    <row r="7" spans="2:4" ht="4.1500000000000004" customHeight="1" x14ac:dyDescent="0.25">
      <c r="B7" s="12"/>
      <c r="C7" s="12"/>
    </row>
    <row r="8" spans="2:4" x14ac:dyDescent="0.25">
      <c r="B8" s="12" t="s">
        <v>27</v>
      </c>
      <c r="C8" s="15">
        <v>0.3</v>
      </c>
    </row>
    <row r="9" spans="2:4" ht="4.1500000000000004" customHeight="1" x14ac:dyDescent="0.25">
      <c r="B9" s="24"/>
      <c r="C9" s="25"/>
    </row>
    <row r="10" spans="2:4" x14ac:dyDescent="0.25">
      <c r="B10" s="12" t="s">
        <v>28</v>
      </c>
      <c r="C10" s="16">
        <v>10000000</v>
      </c>
    </row>
    <row r="11" spans="2:4" ht="4.1500000000000004" customHeight="1" x14ac:dyDescent="0.25">
      <c r="B11" s="17"/>
      <c r="C11" s="17"/>
    </row>
    <row r="12" spans="2:4" x14ac:dyDescent="0.25">
      <c r="B12" s="12" t="s">
        <v>29</v>
      </c>
      <c r="C12" s="16">
        <v>100</v>
      </c>
    </row>
    <row r="13" spans="2:4" ht="4.1500000000000004" customHeight="1" x14ac:dyDescent="0.25">
      <c r="B13" s="17"/>
      <c r="C13" s="17"/>
    </row>
    <row r="14" spans="2:4" x14ac:dyDescent="0.25">
      <c r="B14" s="20" t="s">
        <v>30</v>
      </c>
      <c r="C14" s="21">
        <f>C6*C8</f>
        <v>120000000</v>
      </c>
      <c r="D14" s="2"/>
    </row>
    <row r="15" spans="2:4" ht="4.1500000000000004" customHeight="1" x14ac:dyDescent="0.25">
      <c r="B15" s="17"/>
      <c r="C15" s="29"/>
    </row>
    <row r="16" spans="2:4" x14ac:dyDescent="0.25">
      <c r="B16" s="35" t="s">
        <v>31</v>
      </c>
      <c r="C16" s="21">
        <f>C4+(C6*C8)</f>
        <v>1120000000</v>
      </c>
      <c r="D16" s="2"/>
    </row>
    <row r="17" spans="2:4" ht="4.1500000000000004" customHeight="1" x14ac:dyDescent="0.25">
      <c r="B17" s="29"/>
      <c r="C17" s="29"/>
    </row>
    <row r="18" spans="2:4" x14ac:dyDescent="0.25">
      <c r="B18" s="30" t="s">
        <v>32</v>
      </c>
      <c r="C18" s="36">
        <f>C6/C12</f>
        <v>4000000</v>
      </c>
    </row>
    <row r="19" spans="2:4" ht="4.1500000000000004" customHeight="1" x14ac:dyDescent="0.25">
      <c r="B19" s="29"/>
      <c r="C19" s="29"/>
    </row>
    <row r="20" spans="2:4" x14ac:dyDescent="0.25">
      <c r="B20" s="30" t="s">
        <v>33</v>
      </c>
      <c r="C20" s="28">
        <f>C10-(C6/C12)</f>
        <v>6000000</v>
      </c>
      <c r="D20" s="2"/>
    </row>
    <row r="21" spans="2:4" ht="4.1500000000000004" customHeight="1" x14ac:dyDescent="0.25">
      <c r="B21" s="29"/>
      <c r="C21" s="29"/>
    </row>
    <row r="22" spans="2:4" x14ac:dyDescent="0.25">
      <c r="B22" s="37" t="s">
        <v>34</v>
      </c>
      <c r="C22" s="38">
        <f>(C16-C6)/C20</f>
        <v>120</v>
      </c>
    </row>
    <row r="23" spans="2:4" x14ac:dyDescent="0.25">
      <c r="C23" s="1"/>
    </row>
  </sheetData>
  <mergeCells count="1">
    <mergeCell ref="B2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5BDB2-BB71-4A73-9B40-B44FD450428D}">
  <dimension ref="B2:C12"/>
  <sheetViews>
    <sheetView zoomScale="150" workbookViewId="0">
      <selection activeCell="C16" sqref="C16"/>
    </sheetView>
  </sheetViews>
  <sheetFormatPr defaultRowHeight="15" x14ac:dyDescent="0.25"/>
  <cols>
    <col min="2" max="2" width="32.140625" customWidth="1"/>
    <col min="3" max="3" width="18.42578125" customWidth="1"/>
  </cols>
  <sheetData>
    <row r="2" spans="2:3" x14ac:dyDescent="0.25">
      <c r="B2" s="55" t="s">
        <v>35</v>
      </c>
      <c r="C2" s="55"/>
    </row>
    <row r="3" spans="2:3" ht="4.1500000000000004" customHeight="1" x14ac:dyDescent="0.25">
      <c r="B3" s="3"/>
      <c r="C3" s="3"/>
    </row>
    <row r="4" spans="2:3" x14ac:dyDescent="0.25">
      <c r="B4" s="12" t="s">
        <v>36</v>
      </c>
      <c r="C4" s="39">
        <v>0.3</v>
      </c>
    </row>
    <row r="5" spans="2:3" ht="4.1500000000000004" customHeight="1" x14ac:dyDescent="0.25">
      <c r="B5" s="12"/>
      <c r="C5" s="12"/>
    </row>
    <row r="6" spans="2:3" x14ac:dyDescent="0.25">
      <c r="B6" s="12" t="s">
        <v>37</v>
      </c>
      <c r="C6" s="40">
        <v>0.35</v>
      </c>
    </row>
    <row r="7" spans="2:3" ht="4.1500000000000004" customHeight="1" x14ac:dyDescent="0.25">
      <c r="B7" s="12"/>
      <c r="C7" s="12"/>
    </row>
    <row r="8" spans="2:3" x14ac:dyDescent="0.25">
      <c r="B8" s="12" t="s">
        <v>38</v>
      </c>
      <c r="C8" s="40">
        <v>0.1</v>
      </c>
    </row>
    <row r="9" spans="2:3" ht="4.1500000000000004" customHeight="1" x14ac:dyDescent="0.25">
      <c r="B9" s="33"/>
      <c r="C9" s="34"/>
    </row>
    <row r="10" spans="2:3" x14ac:dyDescent="0.25">
      <c r="B10" s="18" t="s">
        <v>39</v>
      </c>
      <c r="C10" s="41">
        <f>(1-C8)-(1-C4)*(1-C6)</f>
        <v>0.44500000000000006</v>
      </c>
    </row>
    <row r="11" spans="2:3" ht="4.1500000000000004" customHeight="1" x14ac:dyDescent="0.25">
      <c r="B11" s="17"/>
      <c r="C11" s="17"/>
    </row>
    <row r="12" spans="2:3" x14ac:dyDescent="0.25">
      <c r="B12" s="18" t="s">
        <v>39</v>
      </c>
      <c r="C12" s="42">
        <f>C10</f>
        <v>0.44500000000000006</v>
      </c>
    </row>
  </sheetData>
  <mergeCells count="1">
    <mergeCell ref="B2:C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927AE-2D2B-478A-BBB8-2401C2D8F318}">
  <dimension ref="B2:D19"/>
  <sheetViews>
    <sheetView zoomScale="121" workbookViewId="0">
      <selection activeCell="B2" sqref="B2:C2"/>
    </sheetView>
  </sheetViews>
  <sheetFormatPr defaultRowHeight="15" x14ac:dyDescent="0.25"/>
  <cols>
    <col min="2" max="2" width="29.28515625" customWidth="1"/>
    <col min="3" max="3" width="20.28515625" customWidth="1"/>
  </cols>
  <sheetData>
    <row r="2" spans="2:4" x14ac:dyDescent="0.25">
      <c r="B2" s="55" t="s">
        <v>51</v>
      </c>
      <c r="C2" s="55"/>
    </row>
    <row r="3" spans="2:4" ht="4.1500000000000004" customHeight="1" x14ac:dyDescent="0.25">
      <c r="B3" s="3"/>
      <c r="C3" s="3"/>
    </row>
    <row r="4" spans="2:4" x14ac:dyDescent="0.25">
      <c r="B4" s="12" t="s">
        <v>40</v>
      </c>
      <c r="C4" s="13">
        <v>100</v>
      </c>
    </row>
    <row r="5" spans="2:4" ht="4.1500000000000004" customHeight="1" x14ac:dyDescent="0.25">
      <c r="B5" s="12"/>
      <c r="C5" s="12"/>
    </row>
    <row r="6" spans="2:4" x14ac:dyDescent="0.25">
      <c r="B6" s="12" t="s">
        <v>41</v>
      </c>
      <c r="C6" s="16">
        <v>50</v>
      </c>
    </row>
    <row r="7" spans="2:4" ht="4.1500000000000004" customHeight="1" x14ac:dyDescent="0.25">
      <c r="B7" s="12"/>
      <c r="C7" s="12"/>
    </row>
    <row r="8" spans="2:4" x14ac:dyDescent="0.25">
      <c r="B8" s="12" t="s">
        <v>42</v>
      </c>
      <c r="C8" s="15">
        <v>0.3</v>
      </c>
    </row>
    <row r="9" spans="2:4" ht="4.1500000000000004" customHeight="1" x14ac:dyDescent="0.25">
      <c r="B9" s="24"/>
      <c r="C9" s="25"/>
    </row>
    <row r="10" spans="2:4" x14ac:dyDescent="0.25">
      <c r="B10" s="12" t="s">
        <v>43</v>
      </c>
      <c r="C10" s="15">
        <v>0.05</v>
      </c>
    </row>
    <row r="11" spans="2:4" ht="4.1500000000000004" customHeight="1" x14ac:dyDescent="0.25">
      <c r="B11" s="17"/>
      <c r="C11" s="17"/>
    </row>
    <row r="12" spans="2:4" x14ac:dyDescent="0.25">
      <c r="B12" s="12" t="s">
        <v>49</v>
      </c>
      <c r="C12" s="16">
        <v>20</v>
      </c>
    </row>
    <row r="13" spans="2:4" ht="4.1500000000000004" customHeight="1" x14ac:dyDescent="0.25">
      <c r="B13" s="17"/>
      <c r="C13" s="17"/>
    </row>
    <row r="14" spans="2:4" x14ac:dyDescent="0.25">
      <c r="B14" s="20" t="s">
        <v>20</v>
      </c>
      <c r="C14" s="38">
        <f>C6*C8</f>
        <v>15</v>
      </c>
    </row>
    <row r="15" spans="2:4" ht="4.1500000000000004" customHeight="1" x14ac:dyDescent="0.25">
      <c r="B15" s="17"/>
      <c r="C15" s="29"/>
    </row>
    <row r="16" spans="2:4" x14ac:dyDescent="0.25">
      <c r="B16" s="35" t="s">
        <v>44</v>
      </c>
      <c r="C16" s="21">
        <f>C10*C12</f>
        <v>1</v>
      </c>
      <c r="D16" s="2"/>
    </row>
    <row r="17" spans="2:3" ht="4.1500000000000004" customHeight="1" x14ac:dyDescent="0.25">
      <c r="B17" s="29"/>
      <c r="C17" s="29"/>
    </row>
    <row r="18" spans="2:3" x14ac:dyDescent="0.25">
      <c r="B18" s="30" t="s">
        <v>45</v>
      </c>
      <c r="C18" s="38">
        <f>C4+(C6*C8)-(C10*C12)</f>
        <v>114</v>
      </c>
    </row>
    <row r="19" spans="2:3" x14ac:dyDescent="0.25">
      <c r="B19" s="1"/>
    </row>
  </sheetData>
  <mergeCells count="1">
    <mergeCell ref="B2:C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50E51-8C93-4510-9F51-EBB766A5AB34}">
  <dimension ref="B2:D19"/>
  <sheetViews>
    <sheetView zoomScale="154" workbookViewId="0">
      <selection activeCell="E15" sqref="E15"/>
    </sheetView>
  </sheetViews>
  <sheetFormatPr defaultRowHeight="15" x14ac:dyDescent="0.25"/>
  <cols>
    <col min="2" max="2" width="27.7109375" customWidth="1"/>
    <col min="3" max="3" width="19.42578125" customWidth="1"/>
  </cols>
  <sheetData>
    <row r="2" spans="2:4" x14ac:dyDescent="0.25">
      <c r="B2" s="55" t="s">
        <v>46</v>
      </c>
      <c r="C2" s="55"/>
    </row>
    <row r="3" spans="2:4" ht="4.1500000000000004" customHeight="1" x14ac:dyDescent="0.25">
      <c r="B3" s="3"/>
      <c r="C3" s="3"/>
    </row>
    <row r="4" spans="2:4" x14ac:dyDescent="0.25">
      <c r="B4" s="12" t="s">
        <v>40</v>
      </c>
      <c r="C4" s="13">
        <v>100</v>
      </c>
    </row>
    <row r="5" spans="2:4" ht="4.1500000000000004" customHeight="1" x14ac:dyDescent="0.25">
      <c r="B5" s="12"/>
      <c r="C5" s="12"/>
    </row>
    <row r="6" spans="2:4" x14ac:dyDescent="0.25">
      <c r="B6" s="12" t="s">
        <v>41</v>
      </c>
      <c r="C6" s="16">
        <v>50</v>
      </c>
    </row>
    <row r="7" spans="2:4" ht="4.1500000000000004" customHeight="1" x14ac:dyDescent="0.25">
      <c r="B7" s="12"/>
      <c r="C7" s="12"/>
    </row>
    <row r="8" spans="2:4" x14ac:dyDescent="0.25">
      <c r="B8" s="12" t="s">
        <v>42</v>
      </c>
      <c r="C8" s="15">
        <v>0.3</v>
      </c>
    </row>
    <row r="9" spans="2:4" ht="4.1500000000000004" customHeight="1" x14ac:dyDescent="0.25">
      <c r="B9" s="24"/>
      <c r="C9" s="25"/>
    </row>
    <row r="10" spans="2:4" x14ac:dyDescent="0.25">
      <c r="B10" s="12" t="s">
        <v>43</v>
      </c>
      <c r="C10" s="15">
        <v>0.05</v>
      </c>
    </row>
    <row r="11" spans="2:4" ht="4.1500000000000004" customHeight="1" x14ac:dyDescent="0.25">
      <c r="B11" s="17"/>
      <c r="C11" s="17"/>
    </row>
    <row r="12" spans="2:4" x14ac:dyDescent="0.25">
      <c r="B12" s="12" t="s">
        <v>49</v>
      </c>
      <c r="C12" s="16">
        <v>20</v>
      </c>
    </row>
    <row r="13" spans="2:4" ht="4.1500000000000004" customHeight="1" x14ac:dyDescent="0.25">
      <c r="B13" s="17"/>
      <c r="C13" s="17"/>
    </row>
    <row r="14" spans="2:4" x14ac:dyDescent="0.25">
      <c r="B14" s="20" t="s">
        <v>20</v>
      </c>
      <c r="C14" s="38">
        <f>C6*C8</f>
        <v>15</v>
      </c>
    </row>
    <row r="15" spans="2:4" ht="4.1500000000000004" customHeight="1" x14ac:dyDescent="0.25">
      <c r="B15" s="17"/>
      <c r="C15" s="29"/>
    </row>
    <row r="16" spans="2:4" x14ac:dyDescent="0.25">
      <c r="B16" s="35" t="s">
        <v>44</v>
      </c>
      <c r="C16" s="21">
        <f>C10*C12</f>
        <v>1</v>
      </c>
      <c r="D16" s="2"/>
    </row>
    <row r="17" spans="2:3" ht="4.1500000000000004" customHeight="1" x14ac:dyDescent="0.25">
      <c r="B17" s="29"/>
      <c r="C17" s="29"/>
    </row>
    <row r="18" spans="2:3" x14ac:dyDescent="0.25">
      <c r="B18" s="30" t="s">
        <v>45</v>
      </c>
      <c r="C18" s="38">
        <f>C4+(C6*C8)-(C10*C12)</f>
        <v>114</v>
      </c>
    </row>
    <row r="19" spans="2:3" x14ac:dyDescent="0.25">
      <c r="B19" s="1"/>
    </row>
  </sheetData>
  <mergeCells count="1">
    <mergeCell ref="B2:C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456C2-6F6E-4C60-B20A-6855BA94183D}">
  <dimension ref="B2:E22"/>
  <sheetViews>
    <sheetView zoomScale="126" workbookViewId="0">
      <selection activeCell="B2" sqref="B2:C2"/>
    </sheetView>
  </sheetViews>
  <sheetFormatPr defaultRowHeight="15" x14ac:dyDescent="0.25"/>
  <cols>
    <col min="2" max="2" width="26.85546875" customWidth="1"/>
    <col min="3" max="3" width="16.85546875" customWidth="1"/>
  </cols>
  <sheetData>
    <row r="2" spans="2:5" x14ac:dyDescent="0.25">
      <c r="B2" s="55" t="s">
        <v>47</v>
      </c>
      <c r="C2" s="55"/>
    </row>
    <row r="3" spans="2:5" ht="4.1500000000000004" customHeight="1" x14ac:dyDescent="0.25">
      <c r="B3" s="3"/>
      <c r="C3" s="3"/>
    </row>
    <row r="4" spans="2:5" x14ac:dyDescent="0.25">
      <c r="B4" s="12" t="s">
        <v>40</v>
      </c>
      <c r="C4" s="13">
        <v>200</v>
      </c>
    </row>
    <row r="5" spans="2:5" ht="4.1500000000000004" customHeight="1" x14ac:dyDescent="0.25">
      <c r="B5" s="12"/>
      <c r="C5" s="12"/>
    </row>
    <row r="6" spans="2:5" x14ac:dyDescent="0.25">
      <c r="B6" s="12" t="s">
        <v>41</v>
      </c>
      <c r="C6" s="16">
        <v>80</v>
      </c>
    </row>
    <row r="7" spans="2:5" ht="4.1500000000000004" customHeight="1" x14ac:dyDescent="0.25">
      <c r="B7" s="12"/>
      <c r="C7" s="12"/>
    </row>
    <row r="8" spans="2:5" x14ac:dyDescent="0.25">
      <c r="B8" s="12" t="s">
        <v>42</v>
      </c>
      <c r="C8" s="15">
        <v>0.3</v>
      </c>
    </row>
    <row r="9" spans="2:5" ht="4.1500000000000004" customHeight="1" x14ac:dyDescent="0.25">
      <c r="B9" s="24"/>
      <c r="C9" s="25"/>
    </row>
    <row r="10" spans="2:5" x14ac:dyDescent="0.25">
      <c r="B10" s="12" t="s">
        <v>17</v>
      </c>
      <c r="C10" s="15">
        <v>0.1</v>
      </c>
    </row>
    <row r="11" spans="2:5" ht="4.1500000000000004" customHeight="1" x14ac:dyDescent="0.25">
      <c r="B11" s="24"/>
      <c r="C11" s="25"/>
    </row>
    <row r="12" spans="2:5" x14ac:dyDescent="0.25">
      <c r="B12" s="12" t="s">
        <v>43</v>
      </c>
      <c r="C12" s="15">
        <v>0.2</v>
      </c>
    </row>
    <row r="13" spans="2:5" ht="4.1500000000000004" customHeight="1" x14ac:dyDescent="0.25">
      <c r="B13" s="24"/>
      <c r="C13" s="25"/>
      <c r="E13" t="s">
        <v>48</v>
      </c>
    </row>
    <row r="14" spans="2:5" x14ac:dyDescent="0.25">
      <c r="B14" s="12" t="s">
        <v>49</v>
      </c>
      <c r="C14" s="16">
        <v>50</v>
      </c>
    </row>
    <row r="15" spans="2:5" ht="4.1500000000000004" customHeight="1" x14ac:dyDescent="0.25">
      <c r="B15" s="17"/>
      <c r="C15" s="17"/>
    </row>
    <row r="16" spans="2:5" x14ac:dyDescent="0.25">
      <c r="B16" s="18" t="s">
        <v>20</v>
      </c>
      <c r="C16" s="19">
        <f>C6*C8</f>
        <v>24</v>
      </c>
    </row>
    <row r="17" spans="2:4" ht="4.1500000000000004" customHeight="1" x14ac:dyDescent="0.25">
      <c r="B17" s="17"/>
      <c r="C17" s="17"/>
    </row>
    <row r="18" spans="2:4" x14ac:dyDescent="0.25">
      <c r="B18" s="20" t="s">
        <v>44</v>
      </c>
      <c r="C18" s="38">
        <f>C12*C14</f>
        <v>10</v>
      </c>
    </row>
    <row r="19" spans="2:4" ht="4.1500000000000004" customHeight="1" x14ac:dyDescent="0.25">
      <c r="B19" s="17"/>
      <c r="C19" s="29"/>
    </row>
    <row r="20" spans="2:4" x14ac:dyDescent="0.25">
      <c r="B20" s="35" t="s">
        <v>45</v>
      </c>
      <c r="C20" s="21">
        <f>C4+(C6*C8)-(C12*C14)</f>
        <v>214</v>
      </c>
      <c r="D20" s="2"/>
    </row>
    <row r="21" spans="2:4" ht="4.1500000000000004" customHeight="1" x14ac:dyDescent="0.25">
      <c r="B21" s="29"/>
      <c r="C21" s="29"/>
    </row>
    <row r="22" spans="2:4" x14ac:dyDescent="0.25">
      <c r="B22" s="37" t="s">
        <v>50</v>
      </c>
      <c r="C22" s="38">
        <f>(C20-C4)</f>
        <v>14</v>
      </c>
    </row>
  </sheetData>
  <mergeCells count="1">
    <mergeCell ref="B2:C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5847-7526-4093-8E78-D2E8984ED1D6}">
  <dimension ref="B2:D21"/>
  <sheetViews>
    <sheetView zoomScale="130" workbookViewId="0">
      <selection activeCell="B4" sqref="B4:C20"/>
    </sheetView>
  </sheetViews>
  <sheetFormatPr defaultRowHeight="15" x14ac:dyDescent="0.25"/>
  <cols>
    <col min="2" max="2" width="27" customWidth="1"/>
    <col min="3" max="3" width="18.7109375" customWidth="1"/>
  </cols>
  <sheetData>
    <row r="2" spans="2:4" x14ac:dyDescent="0.25">
      <c r="B2" s="55" t="s">
        <v>52</v>
      </c>
      <c r="C2" s="55"/>
    </row>
    <row r="3" spans="2:4" ht="4.1500000000000004" customHeight="1" x14ac:dyDescent="0.25">
      <c r="B3" s="3"/>
      <c r="C3" s="3"/>
    </row>
    <row r="4" spans="2:4" x14ac:dyDescent="0.25">
      <c r="B4" s="12" t="s">
        <v>40</v>
      </c>
      <c r="C4" s="13">
        <v>500</v>
      </c>
    </row>
    <row r="5" spans="2:4" ht="4.1500000000000004" customHeight="1" x14ac:dyDescent="0.25">
      <c r="B5" s="12"/>
      <c r="C5" s="12"/>
    </row>
    <row r="6" spans="2:4" x14ac:dyDescent="0.25">
      <c r="B6" s="12" t="s">
        <v>41</v>
      </c>
      <c r="C6" s="16">
        <v>100</v>
      </c>
    </row>
    <row r="7" spans="2:4" ht="4.1500000000000004" customHeight="1" x14ac:dyDescent="0.25">
      <c r="B7" s="12"/>
      <c r="C7" s="12"/>
    </row>
    <row r="8" spans="2:4" x14ac:dyDescent="0.25">
      <c r="B8" s="12" t="s">
        <v>42</v>
      </c>
      <c r="C8" s="15">
        <v>0.3</v>
      </c>
    </row>
    <row r="9" spans="2:4" ht="4.1500000000000004" customHeight="1" x14ac:dyDescent="0.25">
      <c r="B9" s="24"/>
      <c r="C9" s="25"/>
    </row>
    <row r="10" spans="2:4" x14ac:dyDescent="0.25">
      <c r="B10" s="12" t="s">
        <v>43</v>
      </c>
      <c r="C10" s="15">
        <v>0.05</v>
      </c>
    </row>
    <row r="11" spans="2:4" ht="4.1500000000000004" customHeight="1" x14ac:dyDescent="0.25">
      <c r="B11" s="17"/>
      <c r="C11" s="17"/>
    </row>
    <row r="12" spans="2:4" x14ac:dyDescent="0.25">
      <c r="B12" s="12" t="s">
        <v>49</v>
      </c>
      <c r="C12" s="16">
        <v>150</v>
      </c>
    </row>
    <row r="13" spans="2:4" ht="4.1500000000000004" customHeight="1" x14ac:dyDescent="0.25">
      <c r="B13" s="17"/>
      <c r="C13" s="17"/>
    </row>
    <row r="14" spans="2:4" x14ac:dyDescent="0.25">
      <c r="B14" s="20" t="s">
        <v>20</v>
      </c>
      <c r="C14" s="38">
        <f>C6*C8</f>
        <v>30</v>
      </c>
    </row>
    <row r="15" spans="2:4" ht="4.1500000000000004" customHeight="1" x14ac:dyDescent="0.25">
      <c r="B15" s="17"/>
      <c r="C15" s="29"/>
    </row>
    <row r="16" spans="2:4" x14ac:dyDescent="0.25">
      <c r="B16" s="35" t="s">
        <v>44</v>
      </c>
      <c r="C16" s="21">
        <f>C10*C12</f>
        <v>7.5</v>
      </c>
      <c r="D16" s="2"/>
    </row>
    <row r="17" spans="2:3" ht="4.1500000000000004" customHeight="1" x14ac:dyDescent="0.25">
      <c r="B17" s="29"/>
      <c r="C17" s="29"/>
    </row>
    <row r="18" spans="2:3" x14ac:dyDescent="0.25">
      <c r="B18" s="30" t="s">
        <v>45</v>
      </c>
      <c r="C18" s="38">
        <f>C4+(C6*C8)-(C10*C12)</f>
        <v>522.5</v>
      </c>
    </row>
    <row r="19" spans="2:3" ht="4.1500000000000004" customHeight="1" x14ac:dyDescent="0.25">
      <c r="B19" s="29"/>
      <c r="C19" s="17"/>
    </row>
    <row r="20" spans="2:3" x14ac:dyDescent="0.25">
      <c r="B20" s="30" t="s">
        <v>50</v>
      </c>
      <c r="C20" s="38">
        <f>(C18-C4)</f>
        <v>22.5</v>
      </c>
    </row>
    <row r="21" spans="2:3" x14ac:dyDescent="0.25">
      <c r="B21" s="1"/>
    </row>
  </sheetData>
  <mergeCells count="1">
    <mergeCell ref="B2:C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BBDAD-2039-4496-8B87-943ED87E0FEF}">
  <dimension ref="A2:D16"/>
  <sheetViews>
    <sheetView zoomScale="130" zoomScaleNormal="130" workbookViewId="0">
      <selection activeCell="B4" sqref="B4:D16"/>
    </sheetView>
  </sheetViews>
  <sheetFormatPr defaultRowHeight="15" x14ac:dyDescent="0.25"/>
  <cols>
    <col min="2" max="2" width="27" customWidth="1"/>
    <col min="3" max="3" width="13.28515625" customWidth="1"/>
    <col min="4" max="4" width="11.28515625" customWidth="1"/>
  </cols>
  <sheetData>
    <row r="2" spans="1:4" x14ac:dyDescent="0.25">
      <c r="B2" s="56" t="s">
        <v>58</v>
      </c>
      <c r="C2" s="56"/>
      <c r="D2" s="56"/>
    </row>
    <row r="3" spans="1:4" ht="4.1500000000000004" customHeight="1" x14ac:dyDescent="0.25">
      <c r="B3" s="11"/>
      <c r="C3" s="10"/>
      <c r="D3" s="9"/>
    </row>
    <row r="4" spans="1:4" x14ac:dyDescent="0.25">
      <c r="B4" s="37" t="s">
        <v>57</v>
      </c>
      <c r="C4" s="37" t="s">
        <v>56</v>
      </c>
      <c r="D4" s="37" t="s">
        <v>55</v>
      </c>
    </row>
    <row r="5" spans="1:4" ht="4.1500000000000004" customHeight="1" x14ac:dyDescent="0.25">
      <c r="B5" s="43"/>
      <c r="C5" s="43"/>
      <c r="D5" s="44"/>
    </row>
    <row r="6" spans="1:4" x14ac:dyDescent="0.25">
      <c r="B6" s="44">
        <v>1</v>
      </c>
      <c r="C6" s="45">
        <v>0.12</v>
      </c>
      <c r="D6" s="46">
        <v>0.06</v>
      </c>
    </row>
    <row r="7" spans="1:4" ht="4.1500000000000004" customHeight="1" x14ac:dyDescent="0.25">
      <c r="B7" s="44"/>
      <c r="C7" s="46"/>
      <c r="D7" s="46"/>
    </row>
    <row r="8" spans="1:4" x14ac:dyDescent="0.25">
      <c r="B8" s="44">
        <v>2</v>
      </c>
      <c r="C8" s="46">
        <v>-0.08</v>
      </c>
      <c r="D8" s="46">
        <v>0.06</v>
      </c>
    </row>
    <row r="9" spans="1:4" ht="4.1500000000000004" customHeight="1" x14ac:dyDescent="0.25">
      <c r="B9" s="44"/>
      <c r="C9" s="46"/>
      <c r="D9" s="46"/>
    </row>
    <row r="10" spans="1:4" x14ac:dyDescent="0.25">
      <c r="B10" s="44">
        <v>3</v>
      </c>
      <c r="C10" s="46">
        <v>0.15</v>
      </c>
      <c r="D10" s="46">
        <v>0.05</v>
      </c>
    </row>
    <row r="11" spans="1:4" ht="4.1500000000000004" customHeight="1" x14ac:dyDescent="0.25">
      <c r="B11" s="44"/>
      <c r="C11" s="46"/>
      <c r="D11" s="44"/>
    </row>
    <row r="12" spans="1:4" x14ac:dyDescent="0.25">
      <c r="B12" s="44">
        <v>4</v>
      </c>
      <c r="C12" s="46">
        <v>0.1</v>
      </c>
      <c r="D12" s="46">
        <v>0.05</v>
      </c>
    </row>
    <row r="13" spans="1:4" ht="4.1500000000000004" customHeight="1" x14ac:dyDescent="0.25">
      <c r="A13" s="7"/>
      <c r="B13" s="47"/>
      <c r="C13" s="47"/>
      <c r="D13" s="48"/>
    </row>
    <row r="14" spans="1:4" x14ac:dyDescent="0.25">
      <c r="B14" s="37" t="s">
        <v>54</v>
      </c>
      <c r="C14" s="49">
        <f>AVERAGE(C6:C12)</f>
        <v>7.2500000000000009E-2</v>
      </c>
      <c r="D14" s="49">
        <f>AVERAGE(D6:D12)</f>
        <v>5.4999999999999993E-2</v>
      </c>
    </row>
    <row r="15" spans="1:4" ht="4.1500000000000004" customHeight="1" x14ac:dyDescent="0.25">
      <c r="B15" s="50"/>
      <c r="C15" s="50"/>
      <c r="D15" s="48"/>
    </row>
    <row r="16" spans="1:4" x14ac:dyDescent="0.25">
      <c r="B16" s="37" t="s">
        <v>53</v>
      </c>
      <c r="C16" s="49">
        <f>_xlfn.STDEV.S(C6:C12)</f>
        <v>0.10372238588334406</v>
      </c>
      <c r="D16" s="49">
        <f>_xlfn.STDEV.S(D6:D12)</f>
        <v>5.7735026918962545E-3</v>
      </c>
    </row>
  </sheetData>
  <mergeCells count="1">
    <mergeCell ref="B2:D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EFB2E-F3EC-4A52-B237-884E5E2D1394}">
  <dimension ref="B2:D34"/>
  <sheetViews>
    <sheetView tabSelected="1" zoomScale="121" workbookViewId="0">
      <selection activeCell="F20" sqref="F20"/>
    </sheetView>
  </sheetViews>
  <sheetFormatPr defaultRowHeight="15" x14ac:dyDescent="0.25"/>
  <cols>
    <col min="2" max="2" width="35.28515625" customWidth="1"/>
    <col min="3" max="3" width="12.7109375" customWidth="1"/>
    <col min="4" max="4" width="10.85546875" customWidth="1"/>
  </cols>
  <sheetData>
    <row r="2" spans="2:4" x14ac:dyDescent="0.25">
      <c r="B2" s="56" t="s">
        <v>58</v>
      </c>
      <c r="C2" s="56"/>
      <c r="D2" s="56"/>
    </row>
    <row r="3" spans="2:4" ht="4.1500000000000004" customHeight="1" x14ac:dyDescent="0.25">
      <c r="B3" s="11"/>
      <c r="C3" s="10"/>
      <c r="D3" s="9"/>
    </row>
    <row r="4" spans="2:4" x14ac:dyDescent="0.25">
      <c r="B4" s="37" t="s">
        <v>57</v>
      </c>
      <c r="C4" s="37" t="s">
        <v>56</v>
      </c>
      <c r="D4" s="37" t="s">
        <v>55</v>
      </c>
    </row>
    <row r="5" spans="2:4" ht="4.1500000000000004" customHeight="1" x14ac:dyDescent="0.25">
      <c r="B5" s="43"/>
      <c r="C5" s="43"/>
      <c r="D5" s="44"/>
    </row>
    <row r="6" spans="2:4" x14ac:dyDescent="0.25">
      <c r="B6" s="44">
        <v>1</v>
      </c>
      <c r="C6" s="45">
        <v>0.12</v>
      </c>
      <c r="D6" s="46">
        <v>0.06</v>
      </c>
    </row>
    <row r="7" spans="2:4" ht="4.1500000000000004" customHeight="1" x14ac:dyDescent="0.25">
      <c r="B7" s="44"/>
      <c r="C7" s="46"/>
      <c r="D7" s="46"/>
    </row>
    <row r="8" spans="2:4" x14ac:dyDescent="0.25">
      <c r="B8" s="44">
        <v>2</v>
      </c>
      <c r="C8" s="46">
        <v>0.05</v>
      </c>
      <c r="D8" s="46">
        <v>0.06</v>
      </c>
    </row>
    <row r="9" spans="2:4" ht="4.1500000000000004" customHeight="1" x14ac:dyDescent="0.25">
      <c r="B9" s="44"/>
      <c r="C9" s="46"/>
      <c r="D9" s="46"/>
    </row>
    <row r="10" spans="2:4" x14ac:dyDescent="0.25">
      <c r="B10" s="44">
        <v>3</v>
      </c>
      <c r="C10" s="46">
        <v>0.1</v>
      </c>
      <c r="D10" s="46">
        <v>0.05</v>
      </c>
    </row>
    <row r="11" spans="2:4" ht="4.9000000000000004" customHeight="1" x14ac:dyDescent="0.25">
      <c r="B11" s="44"/>
      <c r="C11" s="46"/>
      <c r="D11" s="44"/>
    </row>
    <row r="12" spans="2:4" x14ac:dyDescent="0.25">
      <c r="B12" s="44">
        <v>4</v>
      </c>
      <c r="C12" s="46">
        <v>0.08</v>
      </c>
      <c r="D12" s="46">
        <v>0.05</v>
      </c>
    </row>
    <row r="13" spans="2:4" ht="4.1500000000000004" customHeight="1" x14ac:dyDescent="0.25">
      <c r="B13" s="47"/>
      <c r="C13" s="47"/>
      <c r="D13" s="48"/>
    </row>
    <row r="14" spans="2:4" x14ac:dyDescent="0.25">
      <c r="B14" s="37" t="s">
        <v>68</v>
      </c>
      <c r="C14" s="49">
        <f>AVERAGE(C6:C12)</f>
        <v>8.7500000000000008E-2</v>
      </c>
      <c r="D14" s="51">
        <f>AVERAGE(D6:D12)</f>
        <v>5.4999999999999993E-2</v>
      </c>
    </row>
    <row r="15" spans="2:4" ht="4.1500000000000004" customHeight="1" x14ac:dyDescent="0.25">
      <c r="B15" s="50"/>
      <c r="C15" s="50"/>
      <c r="D15" s="52"/>
    </row>
    <row r="16" spans="2:4" x14ac:dyDescent="0.25">
      <c r="B16" s="37" t="s">
        <v>53</v>
      </c>
      <c r="C16" s="49">
        <f>_xlfn.STDEV.S(C6:C12)</f>
        <v>2.9860788111948179E-2</v>
      </c>
      <c r="D16" s="49">
        <f>_xlfn.STDEV.S(D6:D12)</f>
        <v>5.7735026918962545E-3</v>
      </c>
    </row>
    <row r="17" spans="2:4" ht="4.1500000000000004" customHeight="1" x14ac:dyDescent="0.25">
      <c r="B17" s="17"/>
      <c r="C17" s="17"/>
      <c r="D17" s="53"/>
    </row>
    <row r="18" spans="2:4" x14ac:dyDescent="0.25">
      <c r="B18" s="37" t="s">
        <v>67</v>
      </c>
      <c r="C18" s="49">
        <f>GEOMEAN(C6:C12)</f>
        <v>8.3235829005756351E-2</v>
      </c>
      <c r="D18" s="49">
        <f>GEOMEAN(D6:D12)</f>
        <v>5.4772255750516613E-2</v>
      </c>
    </row>
    <row r="19" spans="2:4" ht="4.1500000000000004" customHeight="1" x14ac:dyDescent="0.25">
      <c r="B19" s="17"/>
      <c r="C19" s="17"/>
      <c r="D19" s="53"/>
    </row>
    <row r="20" spans="2:4" x14ac:dyDescent="0.25">
      <c r="B20" s="37" t="s">
        <v>66</v>
      </c>
      <c r="C20" s="49">
        <f>_xlfn.VAR.S(C6:C12)</f>
        <v>8.9166666666666561E-4</v>
      </c>
      <c r="D20" s="54">
        <f>_xlfn.VAR.S(D6:D12)</f>
        <v>3.3333333333333301E-5</v>
      </c>
    </row>
    <row r="21" spans="2:4" ht="4.1500000000000004" customHeight="1" x14ac:dyDescent="0.25">
      <c r="B21" s="17"/>
      <c r="C21" s="17"/>
      <c r="D21" s="53"/>
    </row>
    <row r="22" spans="2:4" x14ac:dyDescent="0.25">
      <c r="B22" s="37" t="s">
        <v>65</v>
      </c>
      <c r="C22" s="49">
        <f>_xlfn.STDEV.S(C6:C12)/AVERAGE(C6:C12)</f>
        <v>0.34126614985083631</v>
      </c>
      <c r="D22" s="49">
        <f>_xlfn.STDEV.S(D6:D12)/AVERAGE(D6:D12)</f>
        <v>0.10497277621629555</v>
      </c>
    </row>
    <row r="23" spans="2:4" ht="4.9000000000000004" customHeight="1" x14ac:dyDescent="0.25">
      <c r="B23" s="17"/>
      <c r="C23" s="17"/>
      <c r="D23" s="53"/>
    </row>
    <row r="24" spans="2:4" x14ac:dyDescent="0.25">
      <c r="B24" s="37" t="s">
        <v>64</v>
      </c>
      <c r="C24" s="59">
        <f>_xlfn.COVARIANCE.S(C6:C12,D6:D12)</f>
        <v>-1.6666666666666674E-5</v>
      </c>
      <c r="D24" s="60"/>
    </row>
    <row r="25" spans="2:4" ht="4.1500000000000004" customHeight="1" x14ac:dyDescent="0.25">
      <c r="B25" s="17"/>
      <c r="C25" s="17"/>
      <c r="D25" s="53"/>
    </row>
    <row r="26" spans="2:4" x14ac:dyDescent="0.25">
      <c r="B26" s="37" t="s">
        <v>63</v>
      </c>
      <c r="C26" s="59">
        <f>CORREL(C6:C12,D6:D12)</f>
        <v>-9.667364890456645E-2</v>
      </c>
      <c r="D26" s="60"/>
    </row>
    <row r="27" spans="2:4" ht="4.1500000000000004" customHeight="1" x14ac:dyDescent="0.25">
      <c r="B27" s="17"/>
      <c r="C27" s="17"/>
      <c r="D27" s="53"/>
    </row>
    <row r="28" spans="2:4" x14ac:dyDescent="0.25">
      <c r="B28" s="37" t="s">
        <v>62</v>
      </c>
      <c r="C28" s="57">
        <f>SLOPE(C6:C12,D6:D12)</f>
        <v>-0.50000000000000078</v>
      </c>
      <c r="D28" s="58"/>
    </row>
    <row r="29" spans="2:4" ht="4.1500000000000004" customHeight="1" x14ac:dyDescent="0.25">
      <c r="B29" s="17"/>
      <c r="C29" s="17"/>
      <c r="D29" s="53"/>
    </row>
    <row r="30" spans="2:4" x14ac:dyDescent="0.25">
      <c r="B30" s="37" t="s">
        <v>61</v>
      </c>
      <c r="C30" s="57">
        <f>(C14-D14)/C16</f>
        <v>1.0883838657625988</v>
      </c>
      <c r="D30" s="58"/>
    </row>
    <row r="31" spans="2:4" ht="4.1500000000000004" customHeight="1" x14ac:dyDescent="0.25">
      <c r="B31" s="17"/>
      <c r="C31" s="17"/>
      <c r="D31" s="53"/>
    </row>
    <row r="32" spans="2:4" x14ac:dyDescent="0.25">
      <c r="B32" s="37" t="s">
        <v>60</v>
      </c>
      <c r="C32" s="57">
        <f>(C14-D14)/C28</f>
        <v>-6.4999999999999933E-2</v>
      </c>
      <c r="D32" s="58"/>
    </row>
    <row r="33" spans="2:4" ht="4.1500000000000004" customHeight="1" x14ac:dyDescent="0.25">
      <c r="B33" s="17"/>
      <c r="C33" s="17"/>
      <c r="D33" s="53"/>
    </row>
    <row r="34" spans="2:4" x14ac:dyDescent="0.25">
      <c r="B34" s="37" t="s">
        <v>59</v>
      </c>
      <c r="C34" s="57">
        <f>C14-(D14+C28*(C14-D14))</f>
        <v>4.8750000000000043E-2</v>
      </c>
      <c r="D34" s="58"/>
    </row>
  </sheetData>
  <mergeCells count="7">
    <mergeCell ref="C34:D34"/>
    <mergeCell ref="B2:D2"/>
    <mergeCell ref="C24:D24"/>
    <mergeCell ref="C26:D26"/>
    <mergeCell ref="C28:D28"/>
    <mergeCell ref="C30:D30"/>
    <mergeCell ref="C32:D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MM-I</vt:lpstr>
      <vt:lpstr>MM-II</vt:lpstr>
      <vt:lpstr>Interest Tax Deduction</vt:lpstr>
      <vt:lpstr>Interest Tax Shield</vt:lpstr>
      <vt:lpstr>Recapitalization</vt:lpstr>
      <vt:lpstr>Pers Taxes in Capital Structure</vt:lpstr>
      <vt:lpstr>Optimal Capital Structure</vt:lpstr>
      <vt:lpstr>Bankruptcy &amp; Financial Distress</vt:lpstr>
      <vt:lpstr>Financial Distress &amp; Firm Value</vt:lpstr>
      <vt:lpstr>Trade-Off Theory</vt:lpstr>
      <vt:lpstr>Risk and Return</vt:lpstr>
      <vt:lpstr>Measures of Risk &amp; Return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Sandilyaditya</dc:creator>
  <cp:lastModifiedBy>sandy sharma</cp:lastModifiedBy>
  <dcterms:created xsi:type="dcterms:W3CDTF">2026-01-20T06:38:43Z</dcterms:created>
  <dcterms:modified xsi:type="dcterms:W3CDTF">2026-01-22T15:45:29Z</dcterms:modified>
</cp:coreProperties>
</file>