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13_ncr:1_{1CF16F8A-08F6-4016-B94E-82436FDDB4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Zero-Growth Model" sheetId="4" r:id="rId1"/>
    <sheet name="Constant Growth Mondel" sheetId="1" r:id="rId2"/>
    <sheet name="Multi-Stage Growth Model" sheetId="2" r:id="rId3"/>
    <sheet name="Total Payout Model" sheetId="3" r:id="rId4"/>
    <sheet name="Free Cash Flow Model" sheetId="5" r:id="rId5"/>
    <sheet name="FCF Comparable Firms" sheetId="6" r:id="rId6"/>
    <sheet name="CAPM" sheetId="7" r:id="rId7"/>
    <sheet name="Risk Premium" sheetId="8" r:id="rId8"/>
    <sheet name="Equity Cost of Capital" sheetId="9" r:id="rId9"/>
    <sheet name="Beta Estimation" sheetId="10" r:id="rId10"/>
    <sheet name="Debt Cost of Capital 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1" l="1"/>
  <c r="E11" i="11"/>
  <c r="E10" i="11"/>
  <c r="D20" i="10"/>
  <c r="D18" i="10"/>
  <c r="D16" i="10"/>
  <c r="D14" i="10"/>
  <c r="E9" i="9"/>
  <c r="E10" i="8"/>
  <c r="E9" i="8"/>
  <c r="E11" i="8"/>
  <c r="E9" i="7"/>
  <c r="E12" i="6"/>
  <c r="E14" i="6"/>
  <c r="E9" i="6"/>
  <c r="E10" i="6"/>
  <c r="E11" i="6"/>
  <c r="E8" i="6"/>
  <c r="D21" i="5"/>
  <c r="D20" i="5"/>
  <c r="D19" i="5"/>
  <c r="D17" i="5"/>
  <c r="C17" i="5"/>
  <c r="D16" i="5"/>
  <c r="D13" i="5"/>
  <c r="D14" i="5"/>
  <c r="D15" i="5"/>
  <c r="E8" i="4"/>
  <c r="E10" i="3"/>
  <c r="E9" i="1"/>
  <c r="E18" i="2"/>
  <c r="E16" i="2"/>
  <c r="D16" i="2"/>
  <c r="C16" i="2"/>
  <c r="D15" i="2"/>
  <c r="D14" i="2"/>
  <c r="E14" i="2"/>
  <c r="C15" i="2"/>
  <c r="C14" i="2"/>
  <c r="E15" i="2"/>
  <c r="E13" i="2"/>
  <c r="D13" i="2"/>
  <c r="C13" i="2"/>
</calcChain>
</file>

<file path=xl/sharedStrings.xml><?xml version="1.0" encoding="utf-8"?>
<sst xmlns="http://schemas.openxmlformats.org/spreadsheetml/2006/main" count="96" uniqueCount="79">
  <si>
    <t>Practical 13</t>
  </si>
  <si>
    <t>Zero-Growth Model</t>
  </si>
  <si>
    <t>Dividend</t>
  </si>
  <si>
    <t>Rate of Return</t>
  </si>
  <si>
    <t>Bond's Intrinsic Value</t>
  </si>
  <si>
    <t>Practical 14</t>
  </si>
  <si>
    <t>Constant Growth Model</t>
  </si>
  <si>
    <t>Growth Rate</t>
  </si>
  <si>
    <t>Bond Price (P)</t>
  </si>
  <si>
    <t>Practical 15</t>
  </si>
  <si>
    <t>Multi-Stange Growth Model</t>
  </si>
  <si>
    <t>Growth Rate (First 3 Years)</t>
  </si>
  <si>
    <t>Growth Rate (After 3 Years)</t>
  </si>
  <si>
    <t xml:space="preserve">Year </t>
  </si>
  <si>
    <t>Discount Factor</t>
  </si>
  <si>
    <t>PV of Dividend</t>
  </si>
  <si>
    <t>Terminal Value</t>
  </si>
  <si>
    <t>Total Value</t>
  </si>
  <si>
    <t>Practical 16</t>
  </si>
  <si>
    <t>Total Payout Model (TPM)</t>
  </si>
  <si>
    <t>Dividend Per Share</t>
  </si>
  <si>
    <t>Repurchase Per Share</t>
  </si>
  <si>
    <t>Cost of Equity</t>
  </si>
  <si>
    <t>Intrinsic Value</t>
  </si>
  <si>
    <t>Practical 17</t>
  </si>
  <si>
    <t>Free Cash Flow (FCF) Model</t>
  </si>
  <si>
    <t>WACC</t>
  </si>
  <si>
    <t>Terminal Growth Rate</t>
  </si>
  <si>
    <t>Debt</t>
  </si>
  <si>
    <t>Cash</t>
  </si>
  <si>
    <t>Outstanding Shares</t>
  </si>
  <si>
    <t>Year</t>
  </si>
  <si>
    <t>FCF</t>
  </si>
  <si>
    <t>PV</t>
  </si>
  <si>
    <t>Total</t>
  </si>
  <si>
    <t>Enterprise Value (EV)</t>
  </si>
  <si>
    <t>Equity Value</t>
  </si>
  <si>
    <t>Price Per Share</t>
  </si>
  <si>
    <t>Practical 18</t>
  </si>
  <si>
    <t>Free Cas Flow (FCF) Model</t>
  </si>
  <si>
    <t>Company 'Ambuja Cement' EPS</t>
  </si>
  <si>
    <t>Comparable Company</t>
  </si>
  <si>
    <t>EPS</t>
  </si>
  <si>
    <t>Price</t>
  </si>
  <si>
    <t>P/E Ratio</t>
  </si>
  <si>
    <t>ACC Cement</t>
  </si>
  <si>
    <t>Birla Cement</t>
  </si>
  <si>
    <t>Chettinad Cement</t>
  </si>
  <si>
    <t>Dalmia Cement</t>
  </si>
  <si>
    <t>Average P/E</t>
  </si>
  <si>
    <t>Estimated Price</t>
  </si>
  <si>
    <t>Practical 19</t>
  </si>
  <si>
    <t>The Capital Asset Pricing Model (CAPM)</t>
  </si>
  <si>
    <t>Risk - Free Rate (Rf)</t>
  </si>
  <si>
    <t>Market Return (Rm)</t>
  </si>
  <si>
    <t>Beta (β)</t>
  </si>
  <si>
    <t>Expected Return</t>
  </si>
  <si>
    <t>Practical 20</t>
  </si>
  <si>
    <t>Market Risk Premium</t>
  </si>
  <si>
    <t>Security Risk Premium</t>
  </si>
  <si>
    <t>Practical 21</t>
  </si>
  <si>
    <t>Equity Cost of Capital (Ke)</t>
  </si>
  <si>
    <t>Cost of Equity (Ke)</t>
  </si>
  <si>
    <t>Practical 22</t>
  </si>
  <si>
    <t>Beta Estimation</t>
  </si>
  <si>
    <t>Month</t>
  </si>
  <si>
    <t>Stock Return (Ri)</t>
  </si>
  <si>
    <t>Covariance</t>
  </si>
  <si>
    <t>Variance</t>
  </si>
  <si>
    <t>Beta</t>
  </si>
  <si>
    <t>Practical 23</t>
  </si>
  <si>
    <t>Debt Cost of Capital (Kd)</t>
  </si>
  <si>
    <t>Yield to Maturity (YTM)</t>
  </si>
  <si>
    <t>Interest Rate</t>
  </si>
  <si>
    <t>Bond Yield for Rating</t>
  </si>
  <si>
    <t>Corporate Tax Rate</t>
  </si>
  <si>
    <t>Cost of Debt using YTM</t>
  </si>
  <si>
    <t>Cost of Debt using Loan Rate</t>
  </si>
  <si>
    <t>Cost of Debt using Credit Rating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</si>
</sst>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₹-4009]\ #,##0.00"/>
    <numFmt numFmtId="165" formatCode="0.000"/>
    <numFmt numFmtId="166" formatCode="0.0%"/>
    <numFmt numFmtId="167" formatCode="0.000000"/>
    <numFmt numFmtId="168" formatCode="0.0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9C0006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242424"/>
      <name val="Aptos Narrow"/>
      <charset val="1"/>
    </font>
  </fonts>
  <fills count="1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0">
    <xf numFmtId="0" fontId="0" fillId="0" borderId="0"/>
    <xf numFmtId="0" fontId="4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</cellStyleXfs>
  <cellXfs count="147">
    <xf numFmtId="0" fontId="0" fillId="0" borderId="0" xfId="0"/>
    <xf numFmtId="0" fontId="2" fillId="9" borderId="1" xfId="7" applyBorder="1"/>
    <xf numFmtId="0" fontId="4" fillId="2" borderId="6" xfId="1" applyBorder="1" applyAlignment="1">
      <alignment horizontal="center"/>
    </xf>
    <xf numFmtId="0" fontId="4" fillId="2" borderId="9" xfId="1" applyBorder="1" applyAlignment="1">
      <alignment horizontal="center"/>
    </xf>
    <xf numFmtId="0" fontId="4" fillId="2" borderId="7" xfId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1" xfId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/>
    <xf numFmtId="0" fontId="0" fillId="12" borderId="2" xfId="0" applyFill="1" applyBorder="1" applyAlignment="1">
      <alignment horizontal="center"/>
    </xf>
    <xf numFmtId="0" fontId="3" fillId="7" borderId="6" xfId="2" applyFill="1" applyBorder="1" applyAlignment="1">
      <alignment horizontal="center"/>
    </xf>
    <xf numFmtId="0" fontId="3" fillId="7" borderId="9" xfId="2" applyFill="1" applyBorder="1" applyAlignment="1">
      <alignment horizontal="center"/>
    </xf>
    <xf numFmtId="0" fontId="3" fillId="7" borderId="7" xfId="2" applyFill="1" applyBorder="1" applyAlignment="1">
      <alignment horizontal="center"/>
    </xf>
    <xf numFmtId="2" fontId="3" fillId="7" borderId="6" xfId="2" applyNumberFormat="1" applyFill="1" applyBorder="1" applyAlignment="1">
      <alignment horizontal="center"/>
    </xf>
    <xf numFmtId="2" fontId="3" fillId="7" borderId="7" xfId="2" applyNumberFormat="1" applyFill="1" applyBorder="1" applyAlignment="1">
      <alignment horizontal="center"/>
    </xf>
    <xf numFmtId="9" fontId="3" fillId="7" borderId="6" xfId="2" applyNumberFormat="1" applyFill="1" applyBorder="1" applyAlignment="1">
      <alignment horizontal="center"/>
    </xf>
    <xf numFmtId="9" fontId="3" fillId="7" borderId="7" xfId="2" applyNumberFormat="1" applyFill="1" applyBorder="1" applyAlignment="1">
      <alignment horizontal="center"/>
    </xf>
    <xf numFmtId="0" fontId="5" fillId="7" borderId="6" xfId="3" applyFont="1" applyFill="1" applyBorder="1" applyAlignment="1">
      <alignment horizontal="center"/>
    </xf>
    <xf numFmtId="0" fontId="5" fillId="7" borderId="9" xfId="3" applyFont="1" applyFill="1" applyBorder="1" applyAlignment="1">
      <alignment horizontal="center"/>
    </xf>
    <xf numFmtId="0" fontId="5" fillId="7" borderId="7" xfId="3" applyFont="1" applyFill="1" applyBorder="1" applyAlignment="1">
      <alignment horizontal="center"/>
    </xf>
    <xf numFmtId="0" fontId="3" fillId="7" borderId="6" xfId="3" applyFill="1" applyBorder="1" applyAlignment="1">
      <alignment horizontal="center"/>
    </xf>
    <xf numFmtId="0" fontId="3" fillId="7" borderId="7" xfId="3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3" fillId="13" borderId="1" xfId="2" applyFill="1" applyBorder="1" applyAlignment="1">
      <alignment horizontal="center"/>
    </xf>
    <xf numFmtId="2" fontId="3" fillId="13" borderId="1" xfId="2" applyNumberFormat="1" applyFill="1" applyBorder="1" applyAlignment="1">
      <alignment horizontal="center"/>
    </xf>
    <xf numFmtId="9" fontId="3" fillId="13" borderId="1" xfId="2" applyNumberFormat="1" applyFill="1" applyBorder="1" applyAlignment="1">
      <alignment horizontal="center"/>
    </xf>
    <xf numFmtId="0" fontId="3" fillId="13" borderId="4" xfId="2" applyFill="1" applyBorder="1" applyAlignment="1">
      <alignment horizontal="center"/>
    </xf>
    <xf numFmtId="0" fontId="3" fillId="13" borderId="5" xfId="2" applyFill="1" applyBorder="1" applyAlignment="1">
      <alignment horizontal="center"/>
    </xf>
    <xf numFmtId="0" fontId="3" fillId="13" borderId="8" xfId="2" applyFill="1" applyBorder="1" applyAlignment="1">
      <alignment horizontal="center"/>
    </xf>
    <xf numFmtId="9" fontId="3" fillId="13" borderId="6" xfId="2" applyNumberFormat="1" applyFill="1" applyBorder="1" applyAlignment="1">
      <alignment horizontal="center"/>
    </xf>
    <xf numFmtId="9" fontId="3" fillId="13" borderId="7" xfId="2" applyNumberFormat="1" applyFill="1" applyBorder="1" applyAlignment="1">
      <alignment horizontal="center"/>
    </xf>
    <xf numFmtId="0" fontId="5" fillId="13" borderId="1" xfId="3" applyFont="1" applyFill="1" applyBorder="1" applyAlignment="1">
      <alignment horizontal="center"/>
    </xf>
    <xf numFmtId="0" fontId="3" fillId="13" borderId="7" xfId="3" applyFill="1" applyBorder="1" applyAlignment="1">
      <alignment horizontal="center"/>
    </xf>
    <xf numFmtId="0" fontId="3" fillId="13" borderId="1" xfId="3" applyFill="1" applyBorder="1" applyAlignment="1">
      <alignment horizontal="center"/>
    </xf>
    <xf numFmtId="0" fontId="3" fillId="7" borderId="3" xfId="2" applyFill="1" applyBorder="1" applyAlignment="1">
      <alignment horizontal="center"/>
    </xf>
    <xf numFmtId="2" fontId="3" fillId="7" borderId="3" xfId="2" applyNumberFormat="1" applyFill="1" applyBorder="1" applyAlignment="1">
      <alignment horizontal="center"/>
    </xf>
    <xf numFmtId="0" fontId="3" fillId="7" borderId="1" xfId="2" applyFill="1" applyBorder="1" applyAlignment="1">
      <alignment horizontal="center"/>
    </xf>
    <xf numFmtId="9" fontId="3" fillId="7" borderId="1" xfId="2" applyNumberFormat="1" applyFill="1" applyBorder="1" applyAlignment="1">
      <alignment horizontal="center"/>
    </xf>
    <xf numFmtId="0" fontId="3" fillId="13" borderId="1" xfId="2" applyFill="1" applyBorder="1"/>
    <xf numFmtId="0" fontId="0" fillId="13" borderId="1" xfId="0" applyFill="1" applyBorder="1"/>
    <xf numFmtId="2" fontId="0" fillId="13" borderId="1" xfId="0" applyNumberFormat="1" applyFill="1" applyBorder="1"/>
    <xf numFmtId="0" fontId="3" fillId="13" borderId="1" xfId="5" applyFill="1" applyBorder="1"/>
    <xf numFmtId="2" fontId="3" fillId="13" borderId="1" xfId="5" applyNumberFormat="1" applyFill="1" applyBorder="1"/>
    <xf numFmtId="0" fontId="0" fillId="13" borderId="0" xfId="0" applyFill="1"/>
    <xf numFmtId="0" fontId="3" fillId="13" borderId="1" xfId="4" applyFill="1" applyBorder="1" applyAlignment="1">
      <alignment horizontal="center"/>
    </xf>
    <xf numFmtId="2" fontId="3" fillId="13" borderId="1" xfId="4" applyNumberFormat="1" applyFill="1" applyBorder="1"/>
    <xf numFmtId="2" fontId="3" fillId="7" borderId="1" xfId="2" applyNumberFormat="1" applyFill="1" applyBorder="1" applyAlignment="1">
      <alignment horizontal="center"/>
    </xf>
    <xf numFmtId="0" fontId="3" fillId="7" borderId="4" xfId="2" applyFill="1" applyBorder="1" applyAlignment="1">
      <alignment horizontal="center"/>
    </xf>
    <xf numFmtId="0" fontId="3" fillId="7" borderId="5" xfId="2" applyFill="1" applyBorder="1" applyAlignment="1">
      <alignment horizontal="center"/>
    </xf>
    <xf numFmtId="0" fontId="3" fillId="7" borderId="8" xfId="2" applyFill="1" applyBorder="1" applyAlignment="1">
      <alignment horizontal="center"/>
    </xf>
    <xf numFmtId="0" fontId="5" fillId="7" borderId="1" xfId="3" applyFont="1" applyFill="1" applyBorder="1" applyAlignment="1">
      <alignment horizontal="center"/>
    </xf>
    <xf numFmtId="164" fontId="3" fillId="7" borderId="7" xfId="3" applyNumberFormat="1" applyFill="1" applyBorder="1" applyAlignment="1">
      <alignment horizontal="center"/>
    </xf>
    <xf numFmtId="164" fontId="3" fillId="7" borderId="1" xfId="3" applyNumberFormat="1" applyFill="1" applyBorder="1" applyAlignment="1">
      <alignment horizontal="center"/>
    </xf>
    <xf numFmtId="0" fontId="2" fillId="13" borderId="3" xfId="7" applyFill="1" applyBorder="1" applyAlignment="1">
      <alignment horizontal="center"/>
    </xf>
    <xf numFmtId="9" fontId="2" fillId="13" borderId="3" xfId="7" applyNumberFormat="1" applyFill="1" applyBorder="1"/>
    <xf numFmtId="0" fontId="2" fillId="13" borderId="1" xfId="7" applyFill="1" applyBorder="1" applyAlignment="1">
      <alignment horizontal="center"/>
    </xf>
    <xf numFmtId="9" fontId="2" fillId="13" borderId="1" xfId="7" applyNumberFormat="1" applyFill="1" applyBorder="1"/>
    <xf numFmtId="164" fontId="2" fillId="13" borderId="1" xfId="7" applyNumberFormat="1" applyFill="1" applyBorder="1"/>
    <xf numFmtId="0" fontId="2" fillId="13" borderId="2" xfId="7" applyFill="1" applyBorder="1" applyAlignment="1">
      <alignment horizontal="center"/>
    </xf>
    <xf numFmtId="2" fontId="2" fillId="13" borderId="2" xfId="7" applyNumberFormat="1" applyFill="1" applyBorder="1"/>
    <xf numFmtId="0" fontId="5" fillId="7" borderId="3" xfId="7" applyFont="1" applyFill="1" applyBorder="1"/>
    <xf numFmtId="0" fontId="0" fillId="7" borderId="1" xfId="0" applyFill="1" applyBorder="1"/>
    <xf numFmtId="2" fontId="0" fillId="7" borderId="1" xfId="0" applyNumberFormat="1" applyFill="1" applyBorder="1"/>
    <xf numFmtId="0" fontId="6" fillId="7" borderId="1" xfId="0" applyFont="1" applyFill="1" applyBorder="1" applyAlignment="1">
      <alignment horizontal="center"/>
    </xf>
    <xf numFmtId="0" fontId="5" fillId="7" borderId="10" xfId="6" applyFont="1" applyFill="1" applyBorder="1"/>
    <xf numFmtId="2" fontId="2" fillId="7" borderId="10" xfId="6" applyNumberFormat="1" applyFill="1" applyBorder="1"/>
    <xf numFmtId="0" fontId="5" fillId="14" borderId="3" xfId="3" applyFont="1" applyFill="1" applyBorder="1" applyAlignment="1">
      <alignment horizontal="center"/>
    </xf>
    <xf numFmtId="2" fontId="3" fillId="14" borderId="3" xfId="3" applyNumberFormat="1" applyFill="1" applyBorder="1"/>
    <xf numFmtId="0" fontId="5" fillId="14" borderId="1" xfId="3" applyFont="1" applyFill="1" applyBorder="1" applyAlignment="1">
      <alignment horizontal="center"/>
    </xf>
    <xf numFmtId="2" fontId="3" fillId="14" borderId="1" xfId="3" applyNumberFormat="1" applyFill="1" applyBorder="1"/>
    <xf numFmtId="0" fontId="2" fillId="7" borderId="6" xfId="7" applyFill="1" applyBorder="1" applyAlignment="1">
      <alignment horizontal="center"/>
    </xf>
    <xf numFmtId="0" fontId="2" fillId="7" borderId="9" xfId="7" applyFill="1" applyBorder="1" applyAlignment="1">
      <alignment horizontal="center"/>
    </xf>
    <xf numFmtId="0" fontId="2" fillId="7" borderId="7" xfId="7" applyFill="1" applyBorder="1" applyAlignment="1">
      <alignment horizontal="center"/>
    </xf>
    <xf numFmtId="164" fontId="2" fillId="7" borderId="1" xfId="7" applyNumberFormat="1" applyFill="1" applyBorder="1"/>
    <xf numFmtId="0" fontId="2" fillId="7" borderId="1" xfId="7" applyFill="1" applyBorder="1"/>
    <xf numFmtId="0" fontId="7" fillId="7" borderId="1" xfId="0" applyFont="1" applyFill="1" applyBorder="1" applyAlignment="1">
      <alignment horizontal="center"/>
    </xf>
    <xf numFmtId="0" fontId="5" fillId="7" borderId="1" xfId="7" applyFont="1" applyFill="1" applyBorder="1" applyAlignment="1">
      <alignment horizontal="center"/>
    </xf>
    <xf numFmtId="0" fontId="1" fillId="15" borderId="1" xfId="9" applyFill="1" applyBorder="1" applyAlignment="1">
      <alignment horizontal="center"/>
    </xf>
    <xf numFmtId="9" fontId="1" fillId="15" borderId="1" xfId="9" applyNumberFormat="1" applyFill="1" applyBorder="1" applyAlignment="1">
      <alignment horizontal="center"/>
    </xf>
    <xf numFmtId="0" fontId="1" fillId="15" borderId="1" xfId="9" applyNumberFormat="1" applyFill="1" applyBorder="1" applyAlignment="1">
      <alignment horizontal="center"/>
    </xf>
    <xf numFmtId="0" fontId="1" fillId="15" borderId="4" xfId="9" applyFill="1" applyBorder="1" applyAlignment="1">
      <alignment horizontal="center"/>
    </xf>
    <xf numFmtId="0" fontId="1" fillId="15" borderId="5" xfId="9" applyFill="1" applyBorder="1" applyAlignment="1">
      <alignment horizontal="center"/>
    </xf>
    <xf numFmtId="0" fontId="1" fillId="15" borderId="8" xfId="9" applyFill="1" applyBorder="1" applyAlignment="1">
      <alignment horizontal="center"/>
    </xf>
    <xf numFmtId="0" fontId="1" fillId="15" borderId="6" xfId="9" applyNumberFormat="1" applyFill="1" applyBorder="1" applyAlignment="1">
      <alignment horizontal="center"/>
    </xf>
    <xf numFmtId="0" fontId="1" fillId="15" borderId="7" xfId="9" applyNumberFormat="1" applyFill="1" applyBorder="1" applyAlignment="1">
      <alignment horizontal="center"/>
    </xf>
    <xf numFmtId="0" fontId="5" fillId="15" borderId="1" xfId="3" applyFont="1" applyFill="1" applyBorder="1" applyAlignment="1">
      <alignment horizontal="center"/>
    </xf>
    <xf numFmtId="10" fontId="3" fillId="15" borderId="7" xfId="3" applyNumberFormat="1" applyFill="1" applyBorder="1" applyAlignment="1">
      <alignment horizontal="center"/>
    </xf>
    <xf numFmtId="10" fontId="3" fillId="15" borderId="1" xfId="3" applyNumberFormat="1" applyFill="1" applyBorder="1" applyAlignment="1">
      <alignment horizontal="center"/>
    </xf>
    <xf numFmtId="0" fontId="1" fillId="16" borderId="1" xfId="9" applyFill="1" applyBorder="1" applyAlignment="1">
      <alignment horizontal="center"/>
    </xf>
    <xf numFmtId="9" fontId="1" fillId="16" borderId="1" xfId="9" applyNumberFormat="1" applyFill="1" applyBorder="1" applyAlignment="1">
      <alignment horizontal="center"/>
    </xf>
    <xf numFmtId="0" fontId="1" fillId="16" borderId="1" xfId="9" applyNumberFormat="1" applyFill="1" applyBorder="1" applyAlignment="1">
      <alignment horizontal="center"/>
    </xf>
    <xf numFmtId="0" fontId="1" fillId="16" borderId="4" xfId="9" applyFill="1" applyBorder="1" applyAlignment="1">
      <alignment horizontal="center"/>
    </xf>
    <xf numFmtId="0" fontId="1" fillId="16" borderId="5" xfId="9" applyFill="1" applyBorder="1" applyAlignment="1">
      <alignment horizontal="center"/>
    </xf>
    <xf numFmtId="0" fontId="1" fillId="16" borderId="8" xfId="9" applyFill="1" applyBorder="1" applyAlignment="1">
      <alignment horizontal="center"/>
    </xf>
    <xf numFmtId="0" fontId="1" fillId="16" borderId="6" xfId="9" applyNumberFormat="1" applyFill="1" applyBorder="1" applyAlignment="1">
      <alignment horizontal="center"/>
    </xf>
    <xf numFmtId="0" fontId="1" fillId="16" borderId="7" xfId="9" applyNumberFormat="1" applyFill="1" applyBorder="1" applyAlignment="1">
      <alignment horizontal="center"/>
    </xf>
    <xf numFmtId="0" fontId="5" fillId="16" borderId="6" xfId="3" applyFont="1" applyFill="1" applyBorder="1" applyAlignment="1">
      <alignment horizontal="center"/>
    </xf>
    <xf numFmtId="0" fontId="5" fillId="16" borderId="9" xfId="3" applyFont="1" applyFill="1" applyBorder="1" applyAlignment="1">
      <alignment horizontal="center"/>
    </xf>
    <xf numFmtId="0" fontId="5" fillId="16" borderId="7" xfId="3" applyFont="1" applyFill="1" applyBorder="1" applyAlignment="1">
      <alignment horizontal="center"/>
    </xf>
    <xf numFmtId="9" fontId="3" fillId="16" borderId="6" xfId="3" applyNumberFormat="1" applyFill="1" applyBorder="1" applyAlignment="1">
      <alignment horizontal="center"/>
    </xf>
    <xf numFmtId="0" fontId="3" fillId="16" borderId="7" xfId="3" applyNumberFormat="1" applyFill="1" applyBorder="1" applyAlignment="1">
      <alignment horizontal="center"/>
    </xf>
    <xf numFmtId="10" fontId="3" fillId="16" borderId="6" xfId="3" applyNumberFormat="1" applyFill="1" applyBorder="1" applyAlignment="1">
      <alignment horizontal="center"/>
    </xf>
    <xf numFmtId="10" fontId="3" fillId="16" borderId="7" xfId="3" applyNumberFormat="1" applyFill="1" applyBorder="1" applyAlignment="1">
      <alignment horizontal="center"/>
    </xf>
    <xf numFmtId="0" fontId="1" fillId="17" borderId="1" xfId="8" applyFill="1" applyBorder="1"/>
    <xf numFmtId="0" fontId="0" fillId="17" borderId="1" xfId="0" applyFill="1" applyBorder="1"/>
    <xf numFmtId="165" fontId="0" fillId="17" borderId="1" xfId="0" applyNumberFormat="1" applyFill="1" applyBorder="1"/>
    <xf numFmtId="0" fontId="0" fillId="17" borderId="2" xfId="0" applyFill="1" applyBorder="1"/>
    <xf numFmtId="165" fontId="0" fillId="17" borderId="2" xfId="0" applyNumberFormat="1" applyFill="1" applyBorder="1"/>
    <xf numFmtId="0" fontId="0" fillId="17" borderId="2" xfId="0" applyFill="1" applyBorder="1" applyAlignment="1">
      <alignment horizontal="center"/>
    </xf>
    <xf numFmtId="0" fontId="5" fillId="17" borderId="1" xfId="8" applyFont="1" applyFill="1" applyBorder="1" applyAlignment="1">
      <alignment horizontal="center"/>
    </xf>
    <xf numFmtId="167" fontId="1" fillId="17" borderId="1" xfId="8" applyNumberFormat="1" applyFill="1" applyBorder="1"/>
    <xf numFmtId="0" fontId="0" fillId="17" borderId="1" xfId="0" applyFill="1" applyBorder="1" applyAlignment="1">
      <alignment horizontal="center"/>
    </xf>
    <xf numFmtId="168" fontId="1" fillId="17" borderId="1" xfId="8" applyNumberFormat="1" applyFill="1" applyBorder="1"/>
    <xf numFmtId="2" fontId="0" fillId="17" borderId="1" xfId="0" applyNumberFormat="1" applyFill="1" applyBorder="1" applyAlignment="1">
      <alignment horizontal="center"/>
    </xf>
    <xf numFmtId="0" fontId="5" fillId="17" borderId="1" xfId="3" applyFont="1" applyFill="1" applyBorder="1" applyAlignment="1">
      <alignment horizontal="center"/>
    </xf>
    <xf numFmtId="2" fontId="3" fillId="17" borderId="1" xfId="3" applyNumberFormat="1" applyFill="1" applyBorder="1"/>
    <xf numFmtId="0" fontId="1" fillId="18" borderId="1" xfId="9" applyFill="1" applyBorder="1" applyAlignment="1">
      <alignment horizontal="center"/>
    </xf>
    <xf numFmtId="166" fontId="1" fillId="18" borderId="1" xfId="9" applyNumberFormat="1" applyFill="1" applyBorder="1" applyAlignment="1">
      <alignment horizontal="center"/>
    </xf>
    <xf numFmtId="0" fontId="1" fillId="18" borderId="4" xfId="9" applyFill="1" applyBorder="1" applyAlignment="1">
      <alignment horizontal="center"/>
    </xf>
    <xf numFmtId="0" fontId="1" fillId="18" borderId="5" xfId="9" applyFill="1" applyBorder="1" applyAlignment="1">
      <alignment horizontal="center"/>
    </xf>
    <xf numFmtId="0" fontId="1" fillId="18" borderId="8" xfId="9" applyFill="1" applyBorder="1" applyAlignment="1">
      <alignment horizontal="center"/>
    </xf>
    <xf numFmtId="166" fontId="1" fillId="18" borderId="6" xfId="9" applyNumberFormat="1" applyFill="1" applyBorder="1" applyAlignment="1">
      <alignment horizontal="center"/>
    </xf>
    <xf numFmtId="166" fontId="1" fillId="18" borderId="7" xfId="9" applyNumberFormat="1" applyFill="1" applyBorder="1" applyAlignment="1">
      <alignment horizontal="center"/>
    </xf>
    <xf numFmtId="0" fontId="1" fillId="18" borderId="6" xfId="9" applyFill="1" applyBorder="1" applyAlignment="1">
      <alignment horizontal="center"/>
    </xf>
    <xf numFmtId="0" fontId="1" fillId="18" borderId="9" xfId="9" applyFill="1" applyBorder="1" applyAlignment="1">
      <alignment horizontal="center"/>
    </xf>
    <xf numFmtId="0" fontId="1" fillId="18" borderId="7" xfId="9" applyFill="1" applyBorder="1" applyAlignment="1">
      <alignment horizontal="center"/>
    </xf>
    <xf numFmtId="0" fontId="5" fillId="18" borderId="6" xfId="3" applyFont="1" applyFill="1" applyBorder="1" applyAlignment="1">
      <alignment horizontal="center"/>
    </xf>
    <xf numFmtId="0" fontId="5" fillId="18" borderId="9" xfId="3" applyFont="1" applyFill="1" applyBorder="1" applyAlignment="1">
      <alignment horizontal="center"/>
    </xf>
    <xf numFmtId="0" fontId="5" fillId="18" borderId="7" xfId="3" applyFont="1" applyFill="1" applyBorder="1" applyAlignment="1">
      <alignment horizontal="center"/>
    </xf>
    <xf numFmtId="10" fontId="3" fillId="18" borderId="6" xfId="3" applyNumberFormat="1" applyFill="1" applyBorder="1" applyAlignment="1">
      <alignment horizontal="center"/>
    </xf>
    <xf numFmtId="10" fontId="3" fillId="18" borderId="7" xfId="3" applyNumberFormat="1" applyFill="1" applyBorder="1" applyAlignment="1">
      <alignment horizontal="center"/>
    </xf>
    <xf numFmtId="0" fontId="8" fillId="18" borderId="4" xfId="3" applyFont="1" applyFill="1" applyBorder="1" applyAlignment="1">
      <alignment horizontal="center"/>
    </xf>
    <xf numFmtId="0" fontId="5" fillId="18" borderId="5" xfId="3" applyFont="1" applyFill="1" applyBorder="1" applyAlignment="1">
      <alignment horizontal="center"/>
    </xf>
    <xf numFmtId="0" fontId="5" fillId="18" borderId="8" xfId="3" applyFont="1" applyFill="1" applyBorder="1" applyAlignment="1">
      <alignment horizontal="center"/>
    </xf>
    <xf numFmtId="10" fontId="3" fillId="18" borderId="4" xfId="3" applyNumberFormat="1" applyFill="1" applyBorder="1" applyAlignment="1">
      <alignment horizontal="center"/>
    </xf>
    <xf numFmtId="10" fontId="3" fillId="18" borderId="8" xfId="3" applyNumberFormat="1" applyFill="1" applyBorder="1" applyAlignment="1">
      <alignment horizontal="center"/>
    </xf>
    <xf numFmtId="0" fontId="8" fillId="18" borderId="1" xfId="3" applyFont="1" applyFill="1" applyBorder="1" applyAlignment="1">
      <alignment horizontal="center"/>
    </xf>
    <xf numFmtId="0" fontId="5" fillId="18" borderId="1" xfId="3" applyFont="1" applyFill="1" applyBorder="1" applyAlignment="1">
      <alignment horizontal="center"/>
    </xf>
    <xf numFmtId="10" fontId="3" fillId="18" borderId="1" xfId="3" applyNumberFormat="1" applyFill="1" applyBorder="1" applyAlignment="1">
      <alignment horizontal="center"/>
    </xf>
  </cellXfs>
  <cellStyles count="10">
    <cellStyle name="20% - Accent1" xfId="2" builtinId="30"/>
    <cellStyle name="20% - Accent2" xfId="3" builtinId="34"/>
    <cellStyle name="20% - Accent3" xfId="6" builtinId="38"/>
    <cellStyle name="20% - Accent4" xfId="5" builtinId="42"/>
    <cellStyle name="20% - Accent5" xfId="7" builtinId="46"/>
    <cellStyle name="20% - Accent6" xfId="9" builtinId="50"/>
    <cellStyle name="40% - Accent2" xfId="4" builtinId="35"/>
    <cellStyle name="60% - Accent3" xfId="8" builtinId="40"/>
    <cellStyle name="Bad" xfId="1" builtinId="27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1921-2171-4DBA-980A-9C94BCED9AFC}">
  <dimension ref="B2:F8"/>
  <sheetViews>
    <sheetView tabSelected="1" workbookViewId="0">
      <selection activeCell="E13" sqref="E13"/>
    </sheetView>
  </sheetViews>
  <sheetFormatPr defaultRowHeight="15" x14ac:dyDescent="0.25"/>
  <sheetData>
    <row r="2" spans="2:6" x14ac:dyDescent="0.25">
      <c r="B2" s="2" t="s">
        <v>0</v>
      </c>
      <c r="C2" s="3"/>
      <c r="D2" s="3"/>
      <c r="E2" s="3"/>
      <c r="F2" s="4"/>
    </row>
    <row r="4" spans="2:6" x14ac:dyDescent="0.25">
      <c r="B4" s="5" t="s">
        <v>1</v>
      </c>
      <c r="C4" s="6"/>
      <c r="D4" s="6"/>
      <c r="E4" s="6"/>
      <c r="F4" s="7"/>
    </row>
    <row r="5" spans="2:6" ht="7.5" customHeight="1" x14ac:dyDescent="0.25">
      <c r="B5" s="8"/>
      <c r="C5" s="9"/>
      <c r="D5" s="9"/>
      <c r="E5" s="9"/>
      <c r="F5" s="10"/>
    </row>
    <row r="6" spans="2:6" x14ac:dyDescent="0.25">
      <c r="B6" s="17" t="s">
        <v>2</v>
      </c>
      <c r="C6" s="18"/>
      <c r="D6" s="19"/>
      <c r="E6" s="20">
        <v>6</v>
      </c>
      <c r="F6" s="21"/>
    </row>
    <row r="7" spans="2:6" x14ac:dyDescent="0.25">
      <c r="B7" s="17" t="s">
        <v>3</v>
      </c>
      <c r="C7" s="18"/>
      <c r="D7" s="19"/>
      <c r="E7" s="22">
        <v>0.12</v>
      </c>
      <c r="F7" s="23"/>
    </row>
    <row r="8" spans="2:6" x14ac:dyDescent="0.25">
      <c r="B8" s="24" t="s">
        <v>4</v>
      </c>
      <c r="C8" s="25"/>
      <c r="D8" s="26"/>
      <c r="E8" s="27">
        <f>E6/E7</f>
        <v>50</v>
      </c>
      <c r="F8" s="28"/>
    </row>
  </sheetData>
  <mergeCells count="9">
    <mergeCell ref="E8:F8"/>
    <mergeCell ref="B6:D6"/>
    <mergeCell ref="B7:D7"/>
    <mergeCell ref="B8:D8"/>
    <mergeCell ref="B2:F2"/>
    <mergeCell ref="B4:F4"/>
    <mergeCell ref="B5:F5"/>
    <mergeCell ref="E6:F6"/>
    <mergeCell ref="E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"/>
  <sheetViews>
    <sheetView workbookViewId="0">
      <selection activeCell="F12" sqref="F12"/>
    </sheetView>
  </sheetViews>
  <sheetFormatPr defaultRowHeight="15" x14ac:dyDescent="0.25"/>
  <cols>
    <col min="2" max="2" width="11" bestFit="1" customWidth="1"/>
  </cols>
  <sheetData>
    <row r="2" spans="2:6" x14ac:dyDescent="0.25">
      <c r="B2" s="12" t="s">
        <v>5</v>
      </c>
      <c r="C2" s="12"/>
      <c r="D2" s="12"/>
      <c r="E2" s="12"/>
      <c r="F2" s="12"/>
    </row>
    <row r="4" spans="2:6" x14ac:dyDescent="0.25">
      <c r="B4" s="29" t="s">
        <v>6</v>
      </c>
      <c r="C4" s="29"/>
      <c r="D4" s="29"/>
      <c r="E4" s="29"/>
      <c r="F4" s="29"/>
    </row>
    <row r="5" spans="2:6" ht="7.5" customHeight="1" x14ac:dyDescent="0.25">
      <c r="B5" s="30"/>
      <c r="C5" s="30"/>
      <c r="D5" s="30"/>
      <c r="E5" s="30"/>
      <c r="F5" s="30"/>
    </row>
    <row r="6" spans="2:6" x14ac:dyDescent="0.25">
      <c r="B6" s="31" t="s">
        <v>2</v>
      </c>
      <c r="C6" s="31"/>
      <c r="D6" s="31"/>
      <c r="E6" s="32">
        <v>5</v>
      </c>
      <c r="F6" s="32"/>
    </row>
    <row r="7" spans="2:6" x14ac:dyDescent="0.25">
      <c r="B7" s="31" t="s">
        <v>3</v>
      </c>
      <c r="C7" s="31"/>
      <c r="D7" s="31"/>
      <c r="E7" s="33">
        <v>0.1</v>
      </c>
      <c r="F7" s="33"/>
    </row>
    <row r="8" spans="2:6" x14ac:dyDescent="0.25">
      <c r="B8" s="34" t="s">
        <v>7</v>
      </c>
      <c r="C8" s="35"/>
      <c r="D8" s="36"/>
      <c r="E8" s="37">
        <v>0.06</v>
      </c>
      <c r="F8" s="38"/>
    </row>
    <row r="9" spans="2:6" x14ac:dyDescent="0.25">
      <c r="B9" s="39" t="s">
        <v>8</v>
      </c>
      <c r="C9" s="39"/>
      <c r="D9" s="39"/>
      <c r="E9" s="40">
        <f>E6*(1+E8)/(E7-E8)</f>
        <v>132.5</v>
      </c>
      <c r="F9" s="41"/>
    </row>
  </sheetData>
  <mergeCells count="11">
    <mergeCell ref="B2:F2"/>
    <mergeCell ref="B4:F4"/>
    <mergeCell ref="B6:D6"/>
    <mergeCell ref="B7:D7"/>
    <mergeCell ref="E6:F6"/>
    <mergeCell ref="E7:F7"/>
    <mergeCell ref="B9:D9"/>
    <mergeCell ref="B5:F5"/>
    <mergeCell ref="E9:F9"/>
    <mergeCell ref="B8:D8"/>
    <mergeCell ref="E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9974-DAE0-4195-86DE-1212449DEFBC}">
  <dimension ref="B2:F19"/>
  <sheetViews>
    <sheetView workbookViewId="0">
      <selection activeCell="I13" sqref="I13"/>
    </sheetView>
  </sheetViews>
  <sheetFormatPr defaultRowHeight="15" x14ac:dyDescent="0.25"/>
  <cols>
    <col min="2" max="2" width="16.85546875" customWidth="1"/>
    <col min="3" max="3" width="17.7109375" customWidth="1"/>
    <col min="4" max="4" width="19.7109375" customWidth="1"/>
    <col min="5" max="5" width="20.28515625" customWidth="1"/>
  </cols>
  <sheetData>
    <row r="2" spans="2:6" x14ac:dyDescent="0.25">
      <c r="B2" s="12" t="s">
        <v>9</v>
      </c>
      <c r="C2" s="12"/>
      <c r="D2" s="12"/>
      <c r="E2" s="12"/>
      <c r="F2" s="12"/>
    </row>
    <row r="4" spans="2:6" x14ac:dyDescent="0.25">
      <c r="B4" s="14" t="s">
        <v>10</v>
      </c>
      <c r="C4" s="14"/>
      <c r="D4" s="14"/>
      <c r="E4" s="14"/>
      <c r="F4" s="14"/>
    </row>
    <row r="5" spans="2:6" ht="5.25" customHeight="1" x14ac:dyDescent="0.25">
      <c r="B5" s="14"/>
      <c r="C5" s="14"/>
      <c r="D5" s="14"/>
      <c r="E5" s="14"/>
      <c r="F5" s="14"/>
    </row>
    <row r="6" spans="2:6" x14ac:dyDescent="0.25">
      <c r="B6" s="42" t="s">
        <v>2</v>
      </c>
      <c r="C6" s="42"/>
      <c r="D6" s="42"/>
      <c r="E6" s="43">
        <v>4</v>
      </c>
      <c r="F6" s="43"/>
    </row>
    <row r="7" spans="2:6" x14ac:dyDescent="0.25">
      <c r="B7" s="44" t="s">
        <v>3</v>
      </c>
      <c r="C7" s="44"/>
      <c r="D7" s="44"/>
      <c r="E7" s="45">
        <v>0.1</v>
      </c>
      <c r="F7" s="45"/>
    </row>
    <row r="8" spans="2:6" x14ac:dyDescent="0.25">
      <c r="B8" s="44" t="s">
        <v>11</v>
      </c>
      <c r="C8" s="44"/>
      <c r="D8" s="44"/>
      <c r="E8" s="45">
        <v>0.12</v>
      </c>
      <c r="F8" s="45"/>
    </row>
    <row r="9" spans="2:6" x14ac:dyDescent="0.25">
      <c r="B9" s="44" t="s">
        <v>12</v>
      </c>
      <c r="C9" s="44"/>
      <c r="D9" s="44"/>
      <c r="E9" s="45">
        <v>0.06</v>
      </c>
      <c r="F9" s="45"/>
    </row>
    <row r="12" spans="2:6" x14ac:dyDescent="0.25">
      <c r="B12" s="46" t="s">
        <v>13</v>
      </c>
      <c r="C12" s="46" t="s">
        <v>2</v>
      </c>
      <c r="D12" s="46" t="s">
        <v>14</v>
      </c>
      <c r="E12" s="46" t="s">
        <v>15</v>
      </c>
    </row>
    <row r="13" spans="2:6" x14ac:dyDescent="0.25">
      <c r="B13" s="47">
        <v>1</v>
      </c>
      <c r="C13" s="47">
        <f>$E$6*(1+$E$8)</f>
        <v>4.4800000000000004</v>
      </c>
      <c r="D13" s="48">
        <f>1/(1+$E$7)</f>
        <v>0.90909090909090906</v>
      </c>
      <c r="E13" s="48">
        <f>C13*D13</f>
        <v>4.0727272727272732</v>
      </c>
    </row>
    <row r="14" spans="2:6" x14ac:dyDescent="0.25">
      <c r="B14" s="47">
        <v>2</v>
      </c>
      <c r="C14" s="48">
        <f>C13*(1+$E$8)</f>
        <v>5.0176000000000007</v>
      </c>
      <c r="D14" s="48">
        <f>1/(1+$E$7)^2</f>
        <v>0.82644628099173545</v>
      </c>
      <c r="E14" s="48">
        <f>C14*D14</f>
        <v>4.1467768595041328</v>
      </c>
    </row>
    <row r="15" spans="2:6" x14ac:dyDescent="0.25">
      <c r="B15" s="47">
        <v>3</v>
      </c>
      <c r="C15" s="48">
        <f>C14*(1+$E$8)</f>
        <v>5.6197120000000016</v>
      </c>
      <c r="D15" s="48">
        <f>1/(1+$E$7)^3</f>
        <v>0.75131480090157754</v>
      </c>
      <c r="E15" s="48">
        <f t="shared" ref="E15" si="0">C15*D15</f>
        <v>4.2221728024042076</v>
      </c>
    </row>
    <row r="16" spans="2:6" x14ac:dyDescent="0.25">
      <c r="B16" s="49" t="s">
        <v>16</v>
      </c>
      <c r="C16" s="50">
        <f>C15*(1+$E$9)/($E$7-$E$9)</f>
        <v>148.92236800000003</v>
      </c>
      <c r="D16" s="50">
        <f>1/(1+$E$7)^3</f>
        <v>0.75131480090157754</v>
      </c>
      <c r="E16" s="50">
        <f>C16*D16</f>
        <v>111.88757926371149</v>
      </c>
    </row>
    <row r="17" spans="2:5" ht="5.25" customHeight="1" x14ac:dyDescent="0.25">
      <c r="B17" s="51"/>
      <c r="C17" s="51"/>
      <c r="D17" s="51"/>
      <c r="E17" s="51"/>
    </row>
    <row r="18" spans="2:5" x14ac:dyDescent="0.25">
      <c r="B18" s="52" t="s">
        <v>17</v>
      </c>
      <c r="C18" s="52"/>
      <c r="D18" s="52"/>
      <c r="E18" s="53">
        <f>E13+E14+E15+E16</f>
        <v>124.3292561983471</v>
      </c>
    </row>
    <row r="19" spans="2:5" x14ac:dyDescent="0.25">
      <c r="B19" s="51"/>
      <c r="C19" s="51"/>
      <c r="D19" s="51"/>
      <c r="E19" s="51"/>
    </row>
  </sheetData>
  <mergeCells count="12">
    <mergeCell ref="B2:F2"/>
    <mergeCell ref="B4:F4"/>
    <mergeCell ref="B5:F5"/>
    <mergeCell ref="B9:D9"/>
    <mergeCell ref="E9:F9"/>
    <mergeCell ref="B18:D18"/>
    <mergeCell ref="B6:D6"/>
    <mergeCell ref="B7:D7"/>
    <mergeCell ref="E6:F6"/>
    <mergeCell ref="E7:F7"/>
    <mergeCell ref="B8:D8"/>
    <mergeCell ref="E8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8016-BE89-4C4C-AEB2-C0A0BA1CF7E6}">
  <dimension ref="B2:F10"/>
  <sheetViews>
    <sheetView workbookViewId="0">
      <selection activeCell="H15" sqref="H15"/>
    </sheetView>
  </sheetViews>
  <sheetFormatPr defaultRowHeight="15" x14ac:dyDescent="0.25"/>
  <sheetData>
    <row r="2" spans="2:6" x14ac:dyDescent="0.25">
      <c r="B2" s="12" t="s">
        <v>18</v>
      </c>
      <c r="C2" s="12"/>
      <c r="D2" s="12"/>
      <c r="E2" s="12"/>
      <c r="F2" s="12"/>
    </row>
    <row r="4" spans="2:6" x14ac:dyDescent="0.25">
      <c r="B4" s="13" t="s">
        <v>19</v>
      </c>
      <c r="C4" s="13"/>
      <c r="D4" s="13"/>
      <c r="E4" s="13"/>
      <c r="F4" s="13"/>
    </row>
    <row r="5" spans="2:6" x14ac:dyDescent="0.25">
      <c r="B5" s="11"/>
      <c r="C5" s="11"/>
      <c r="D5" s="11"/>
      <c r="E5" s="11"/>
      <c r="F5" s="11"/>
    </row>
    <row r="6" spans="2:6" x14ac:dyDescent="0.25">
      <c r="B6" s="44" t="s">
        <v>20</v>
      </c>
      <c r="C6" s="44"/>
      <c r="D6" s="44"/>
      <c r="E6" s="54">
        <v>2</v>
      </c>
      <c r="F6" s="54"/>
    </row>
    <row r="7" spans="2:6" x14ac:dyDescent="0.25">
      <c r="B7" s="44" t="s">
        <v>21</v>
      </c>
      <c r="C7" s="44"/>
      <c r="D7" s="44"/>
      <c r="E7" s="54">
        <v>1</v>
      </c>
      <c r="F7" s="54"/>
    </row>
    <row r="8" spans="2:6" x14ac:dyDescent="0.25">
      <c r="B8" s="55" t="s">
        <v>7</v>
      </c>
      <c r="C8" s="56"/>
      <c r="D8" s="57"/>
      <c r="E8" s="22">
        <v>0.04</v>
      </c>
      <c r="F8" s="23"/>
    </row>
    <row r="9" spans="2:6" x14ac:dyDescent="0.25">
      <c r="B9" s="17" t="s">
        <v>22</v>
      </c>
      <c r="C9" s="18"/>
      <c r="D9" s="19"/>
      <c r="E9" s="22">
        <v>0.1</v>
      </c>
      <c r="F9" s="23"/>
    </row>
    <row r="10" spans="2:6" x14ac:dyDescent="0.25">
      <c r="B10" s="58" t="s">
        <v>23</v>
      </c>
      <c r="C10" s="58"/>
      <c r="D10" s="58"/>
      <c r="E10" s="59">
        <f>(E6+E7)/(E9-E8)</f>
        <v>49.999999999999993</v>
      </c>
      <c r="F10" s="60"/>
    </row>
  </sheetData>
  <mergeCells count="13">
    <mergeCell ref="B8:D8"/>
    <mergeCell ref="E8:F8"/>
    <mergeCell ref="B10:D10"/>
    <mergeCell ref="E10:F10"/>
    <mergeCell ref="B9:D9"/>
    <mergeCell ref="E9:F9"/>
    <mergeCell ref="B7:D7"/>
    <mergeCell ref="E7:F7"/>
    <mergeCell ref="B2:F2"/>
    <mergeCell ref="B4:F4"/>
    <mergeCell ref="B5:F5"/>
    <mergeCell ref="B6:D6"/>
    <mergeCell ref="E6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75018-8BEB-4D07-89A9-64919C860BE2}">
  <dimension ref="B2:D21"/>
  <sheetViews>
    <sheetView workbookViewId="0">
      <selection activeCell="J16" sqref="J16"/>
    </sheetView>
  </sheetViews>
  <sheetFormatPr defaultRowHeight="15" x14ac:dyDescent="0.25"/>
  <cols>
    <col min="2" max="2" width="21.28515625" customWidth="1"/>
    <col min="3" max="3" width="22.28515625" customWidth="1"/>
    <col min="4" max="4" width="20.28515625" customWidth="1"/>
  </cols>
  <sheetData>
    <row r="2" spans="2:4" x14ac:dyDescent="0.25">
      <c r="B2" s="12" t="s">
        <v>24</v>
      </c>
      <c r="C2" s="12"/>
      <c r="D2" s="12"/>
    </row>
    <row r="4" spans="2:4" x14ac:dyDescent="0.25">
      <c r="B4" s="13" t="s">
        <v>25</v>
      </c>
      <c r="C4" s="13"/>
      <c r="D4" s="13"/>
    </row>
    <row r="5" spans="2:4" ht="6.75" customHeight="1" x14ac:dyDescent="0.25">
      <c r="B5" s="11"/>
      <c r="C5" s="11"/>
      <c r="D5" s="11"/>
    </row>
    <row r="6" spans="2:4" x14ac:dyDescent="0.25">
      <c r="B6" s="61" t="s">
        <v>26</v>
      </c>
      <c r="C6" s="61"/>
      <c r="D6" s="62">
        <v>0.1</v>
      </c>
    </row>
    <row r="7" spans="2:4" x14ac:dyDescent="0.25">
      <c r="B7" s="63" t="s">
        <v>27</v>
      </c>
      <c r="C7" s="63"/>
      <c r="D7" s="64">
        <v>0.04</v>
      </c>
    </row>
    <row r="8" spans="2:4" x14ac:dyDescent="0.25">
      <c r="B8" s="63" t="s">
        <v>28</v>
      </c>
      <c r="C8" s="63"/>
      <c r="D8" s="65">
        <v>500</v>
      </c>
    </row>
    <row r="9" spans="2:4" x14ac:dyDescent="0.25">
      <c r="B9" s="63" t="s">
        <v>29</v>
      </c>
      <c r="C9" s="63"/>
      <c r="D9" s="65">
        <v>100</v>
      </c>
    </row>
    <row r="10" spans="2:4" x14ac:dyDescent="0.25">
      <c r="B10" s="66" t="s">
        <v>30</v>
      </c>
      <c r="C10" s="66"/>
      <c r="D10" s="67">
        <v>100</v>
      </c>
    </row>
    <row r="11" spans="2:4" ht="6" customHeight="1" x14ac:dyDescent="0.25">
      <c r="B11" s="8"/>
      <c r="C11" s="9"/>
      <c r="D11" s="10"/>
    </row>
    <row r="12" spans="2:4" x14ac:dyDescent="0.25">
      <c r="B12" s="68" t="s">
        <v>31</v>
      </c>
      <c r="C12" s="68" t="s">
        <v>32</v>
      </c>
      <c r="D12" s="68" t="s">
        <v>33</v>
      </c>
    </row>
    <row r="13" spans="2:4" x14ac:dyDescent="0.25">
      <c r="B13" s="69">
        <v>1</v>
      </c>
      <c r="C13" s="70">
        <v>100</v>
      </c>
      <c r="D13" s="70">
        <f>C13/(1+$D$6)^B13</f>
        <v>90.909090909090907</v>
      </c>
    </row>
    <row r="14" spans="2:4" x14ac:dyDescent="0.25">
      <c r="B14" s="69">
        <v>2</v>
      </c>
      <c r="C14" s="70">
        <v>120</v>
      </c>
      <c r="D14" s="70">
        <f t="shared" ref="D14:D15" si="0">C14/(1+$D$6)^B14</f>
        <v>99.173553719008254</v>
      </c>
    </row>
    <row r="15" spans="2:4" x14ac:dyDescent="0.25">
      <c r="B15" s="69">
        <v>3</v>
      </c>
      <c r="C15" s="70">
        <v>140</v>
      </c>
      <c r="D15" s="70">
        <f t="shared" si="0"/>
        <v>105.18407212622085</v>
      </c>
    </row>
    <row r="16" spans="2:4" x14ac:dyDescent="0.25">
      <c r="B16" s="71" t="s">
        <v>34</v>
      </c>
      <c r="C16" s="71"/>
      <c r="D16" s="70">
        <f>SUM(D13:D15)</f>
        <v>295.26671675431999</v>
      </c>
    </row>
    <row r="17" spans="2:4" x14ac:dyDescent="0.25">
      <c r="B17" s="72" t="s">
        <v>16</v>
      </c>
      <c r="C17" s="73">
        <f>C15*(1+D7)/(D6-D7)</f>
        <v>2426.6666666666665</v>
      </c>
      <c r="D17" s="73">
        <f>C17/(1+$D$6)^B15</f>
        <v>1823.1905835211614</v>
      </c>
    </row>
    <row r="18" spans="2:4" ht="6" customHeight="1" x14ac:dyDescent="0.25">
      <c r="B18" s="11"/>
      <c r="C18" s="11"/>
      <c r="D18" s="11"/>
    </row>
    <row r="19" spans="2:4" x14ac:dyDescent="0.25">
      <c r="B19" s="74" t="s">
        <v>35</v>
      </c>
      <c r="C19" s="74"/>
      <c r="D19" s="75">
        <f>(D16+D17)</f>
        <v>2118.4573002754814</v>
      </c>
    </row>
    <row r="20" spans="2:4" x14ac:dyDescent="0.25">
      <c r="B20" s="76" t="s">
        <v>36</v>
      </c>
      <c r="C20" s="76"/>
      <c r="D20" s="77">
        <f>D19-D8+D9</f>
        <v>1718.4573002754814</v>
      </c>
    </row>
    <row r="21" spans="2:4" x14ac:dyDescent="0.25">
      <c r="B21" s="76" t="s">
        <v>37</v>
      </c>
      <c r="C21" s="76"/>
      <c r="D21" s="77">
        <f>D20/D10</f>
        <v>17.184573002754814</v>
      </c>
    </row>
  </sheetData>
  <mergeCells count="14">
    <mergeCell ref="B4:D4"/>
    <mergeCell ref="B5:D5"/>
    <mergeCell ref="B11:D11"/>
    <mergeCell ref="B18:D18"/>
    <mergeCell ref="B2:D2"/>
    <mergeCell ref="B16:C16"/>
    <mergeCell ref="B19:C19"/>
    <mergeCell ref="B20:C20"/>
    <mergeCell ref="B21:C21"/>
    <mergeCell ref="B6:C6"/>
    <mergeCell ref="B7:C7"/>
    <mergeCell ref="B8:C8"/>
    <mergeCell ref="B9:C9"/>
    <mergeCell ref="B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2A7C-95BA-4617-A04F-528A09F97A6D}">
  <dimension ref="B2:F14"/>
  <sheetViews>
    <sheetView workbookViewId="0">
      <selection activeCell="F14" sqref="F14"/>
    </sheetView>
  </sheetViews>
  <sheetFormatPr defaultRowHeight="15" x14ac:dyDescent="0.25"/>
  <cols>
    <col min="2" max="2" width="25.7109375" customWidth="1"/>
    <col min="3" max="4" width="15.5703125" customWidth="1"/>
    <col min="5" max="5" width="15.85546875" customWidth="1"/>
  </cols>
  <sheetData>
    <row r="2" spans="2:6" x14ac:dyDescent="0.25">
      <c r="B2" s="12" t="s">
        <v>38</v>
      </c>
      <c r="C2" s="12"/>
      <c r="D2" s="12"/>
      <c r="E2" s="12"/>
    </row>
    <row r="4" spans="2:6" x14ac:dyDescent="0.25">
      <c r="B4" s="14" t="s">
        <v>39</v>
      </c>
      <c r="C4" s="14"/>
      <c r="D4" s="14"/>
      <c r="E4" s="14"/>
    </row>
    <row r="5" spans="2:6" ht="6" customHeight="1" x14ac:dyDescent="0.25">
      <c r="B5" s="11"/>
      <c r="C5" s="11"/>
      <c r="D5" s="11"/>
      <c r="E5" s="11"/>
    </row>
    <row r="6" spans="2:6" x14ac:dyDescent="0.25">
      <c r="B6" s="78" t="s">
        <v>40</v>
      </c>
      <c r="C6" s="79"/>
      <c r="D6" s="80"/>
      <c r="E6" s="81">
        <v>11</v>
      </c>
    </row>
    <row r="7" spans="2:6" x14ac:dyDescent="0.25">
      <c r="B7" s="82" t="s">
        <v>41</v>
      </c>
      <c r="C7" s="82" t="s">
        <v>42</v>
      </c>
      <c r="D7" s="82" t="s">
        <v>43</v>
      </c>
      <c r="E7" s="82" t="s">
        <v>44</v>
      </c>
    </row>
    <row r="8" spans="2:6" x14ac:dyDescent="0.25">
      <c r="B8" s="69" t="s">
        <v>45</v>
      </c>
      <c r="C8" s="70">
        <v>10</v>
      </c>
      <c r="D8" s="70">
        <v>150</v>
      </c>
      <c r="E8" s="69">
        <f>D8/C8</f>
        <v>15</v>
      </c>
    </row>
    <row r="9" spans="2:6" x14ac:dyDescent="0.25">
      <c r="B9" s="69" t="s">
        <v>46</v>
      </c>
      <c r="C9" s="70">
        <v>8</v>
      </c>
      <c r="D9" s="70">
        <v>128</v>
      </c>
      <c r="E9" s="69">
        <f t="shared" ref="E9:E11" si="0">D9/C9</f>
        <v>16</v>
      </c>
    </row>
    <row r="10" spans="2:6" x14ac:dyDescent="0.25">
      <c r="B10" s="69" t="s">
        <v>47</v>
      </c>
      <c r="C10" s="70">
        <v>12</v>
      </c>
      <c r="D10" s="70">
        <v>180</v>
      </c>
      <c r="E10" s="69">
        <f t="shared" si="0"/>
        <v>15</v>
      </c>
    </row>
    <row r="11" spans="2:6" x14ac:dyDescent="0.25">
      <c r="B11" s="69" t="s">
        <v>48</v>
      </c>
      <c r="C11" s="70">
        <v>9</v>
      </c>
      <c r="D11" s="70">
        <v>144</v>
      </c>
      <c r="E11" s="69">
        <f t="shared" si="0"/>
        <v>16</v>
      </c>
    </row>
    <row r="12" spans="2:6" x14ac:dyDescent="0.25">
      <c r="B12" s="83" t="s">
        <v>49</v>
      </c>
      <c r="C12" s="83"/>
      <c r="D12" s="83"/>
      <c r="E12" s="69">
        <f>AVERAGE(E8:E11)</f>
        <v>15.5</v>
      </c>
    </row>
    <row r="13" spans="2:6" ht="5.25" customHeight="1" x14ac:dyDescent="0.25">
      <c r="B13" s="14"/>
      <c r="C13" s="14"/>
      <c r="D13" s="14"/>
      <c r="E13" s="14"/>
    </row>
    <row r="14" spans="2:6" x14ac:dyDescent="0.25">
      <c r="B14" s="84" t="s">
        <v>50</v>
      </c>
      <c r="C14" s="84"/>
      <c r="D14" s="84"/>
      <c r="E14" s="81">
        <f>E12*E6</f>
        <v>170.5</v>
      </c>
      <c r="F14" s="1"/>
    </row>
  </sheetData>
  <mergeCells count="7">
    <mergeCell ref="B12:D12"/>
    <mergeCell ref="B14:D14"/>
    <mergeCell ref="B4:E4"/>
    <mergeCell ref="B2:E2"/>
    <mergeCell ref="B5:E5"/>
    <mergeCell ref="B13:E13"/>
    <mergeCell ref="B6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A392-6429-4BB1-BEE8-7936A5AA4663}">
  <dimension ref="B2:F9"/>
  <sheetViews>
    <sheetView workbookViewId="0">
      <selection activeCell="B16" sqref="B16"/>
    </sheetView>
  </sheetViews>
  <sheetFormatPr defaultRowHeight="15" x14ac:dyDescent="0.25"/>
  <cols>
    <col min="2" max="2" width="11" bestFit="1" customWidth="1"/>
    <col min="5" max="5" width="13.140625" customWidth="1"/>
    <col min="6" max="6" width="10.5703125" customWidth="1"/>
  </cols>
  <sheetData>
    <row r="2" spans="2:6" x14ac:dyDescent="0.25">
      <c r="B2" s="2" t="s">
        <v>51</v>
      </c>
      <c r="C2" s="3"/>
      <c r="D2" s="3"/>
      <c r="E2" s="3"/>
      <c r="F2" s="4"/>
    </row>
    <row r="4" spans="2:6" x14ac:dyDescent="0.25">
      <c r="B4" s="13" t="s">
        <v>52</v>
      </c>
      <c r="C4" s="13"/>
      <c r="D4" s="13"/>
      <c r="E4" s="13"/>
      <c r="F4" s="13"/>
    </row>
    <row r="5" spans="2:6" ht="4.5" customHeight="1" x14ac:dyDescent="0.25">
      <c r="B5" s="11"/>
      <c r="C5" s="11"/>
      <c r="D5" s="11"/>
      <c r="E5" s="11"/>
      <c r="F5" s="11"/>
    </row>
    <row r="6" spans="2:6" x14ac:dyDescent="0.25">
      <c r="B6" s="85" t="s">
        <v>53</v>
      </c>
      <c r="C6" s="85"/>
      <c r="D6" s="85"/>
      <c r="E6" s="86">
        <v>0.06</v>
      </c>
      <c r="F6" s="87"/>
    </row>
    <row r="7" spans="2:6" x14ac:dyDescent="0.25">
      <c r="B7" s="85" t="s">
        <v>54</v>
      </c>
      <c r="C7" s="85"/>
      <c r="D7" s="85"/>
      <c r="E7" s="86">
        <v>0.12</v>
      </c>
      <c r="F7" s="86"/>
    </row>
    <row r="8" spans="2:6" x14ac:dyDescent="0.25">
      <c r="B8" s="88" t="s">
        <v>55</v>
      </c>
      <c r="C8" s="89"/>
      <c r="D8" s="90"/>
      <c r="E8" s="91">
        <v>1.3</v>
      </c>
      <c r="F8" s="92"/>
    </row>
    <row r="9" spans="2:6" x14ac:dyDescent="0.25">
      <c r="B9" s="93" t="s">
        <v>56</v>
      </c>
      <c r="C9" s="93"/>
      <c r="D9" s="93"/>
      <c r="E9" s="94">
        <f>E6+E8*(E7-E6)</f>
        <v>0.13800000000000001</v>
      </c>
      <c r="F9" s="95"/>
    </row>
  </sheetData>
  <mergeCells count="11">
    <mergeCell ref="B8:D8"/>
    <mergeCell ref="E8:F8"/>
    <mergeCell ref="B9:D9"/>
    <mergeCell ref="E9:F9"/>
    <mergeCell ref="B2:F2"/>
    <mergeCell ref="B4:F4"/>
    <mergeCell ref="B5:F5"/>
    <mergeCell ref="B6:D6"/>
    <mergeCell ref="E6:F6"/>
    <mergeCell ref="B7:D7"/>
    <mergeCell ref="E7:F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1BA6-78D7-42A3-8E85-F954167D4133}">
  <dimension ref="B2:F12"/>
  <sheetViews>
    <sheetView workbookViewId="0">
      <selection activeCell="I15" sqref="I15"/>
    </sheetView>
  </sheetViews>
  <sheetFormatPr defaultRowHeight="15" x14ac:dyDescent="0.25"/>
  <cols>
    <col min="4" max="4" width="15.5703125" customWidth="1"/>
    <col min="6" max="6" width="13.28515625" customWidth="1"/>
  </cols>
  <sheetData>
    <row r="2" spans="2:6" x14ac:dyDescent="0.25">
      <c r="B2" s="2" t="s">
        <v>57</v>
      </c>
      <c r="C2" s="3"/>
      <c r="D2" s="3"/>
      <c r="E2" s="3"/>
      <c r="F2" s="4"/>
    </row>
    <row r="4" spans="2:6" x14ac:dyDescent="0.25">
      <c r="B4" s="13" t="s">
        <v>52</v>
      </c>
      <c r="C4" s="13"/>
      <c r="D4" s="13"/>
      <c r="E4" s="13"/>
      <c r="F4" s="13"/>
    </row>
    <row r="5" spans="2:6" ht="6" customHeight="1" x14ac:dyDescent="0.25">
      <c r="B5" s="11"/>
      <c r="C5" s="11"/>
      <c r="D5" s="11"/>
      <c r="E5" s="11"/>
      <c r="F5" s="11"/>
    </row>
    <row r="6" spans="2:6" x14ac:dyDescent="0.25">
      <c r="B6" s="96" t="s">
        <v>53</v>
      </c>
      <c r="C6" s="96"/>
      <c r="D6" s="96"/>
      <c r="E6" s="97">
        <v>0.06</v>
      </c>
      <c r="F6" s="98"/>
    </row>
    <row r="7" spans="2:6" x14ac:dyDescent="0.25">
      <c r="B7" s="96" t="s">
        <v>54</v>
      </c>
      <c r="C7" s="96"/>
      <c r="D7" s="96"/>
      <c r="E7" s="97">
        <v>0.12</v>
      </c>
      <c r="F7" s="97"/>
    </row>
    <row r="8" spans="2:6" x14ac:dyDescent="0.25">
      <c r="B8" s="99" t="s">
        <v>55</v>
      </c>
      <c r="C8" s="100"/>
      <c r="D8" s="101"/>
      <c r="E8" s="102">
        <v>1.3</v>
      </c>
      <c r="F8" s="103"/>
    </row>
    <row r="9" spans="2:6" x14ac:dyDescent="0.25">
      <c r="B9" s="104" t="s">
        <v>58</v>
      </c>
      <c r="C9" s="105"/>
      <c r="D9" s="106"/>
      <c r="E9" s="107">
        <f>(E7-E6)</f>
        <v>0.06</v>
      </c>
      <c r="F9" s="108"/>
    </row>
    <row r="10" spans="2:6" x14ac:dyDescent="0.25">
      <c r="B10" s="104" t="s">
        <v>59</v>
      </c>
      <c r="C10" s="105"/>
      <c r="D10" s="106"/>
      <c r="E10" s="109">
        <f>E8*(E7-E6)</f>
        <v>7.8E-2</v>
      </c>
      <c r="F10" s="110"/>
    </row>
    <row r="11" spans="2:6" x14ac:dyDescent="0.25">
      <c r="B11" s="104" t="s">
        <v>56</v>
      </c>
      <c r="C11" s="105"/>
      <c r="D11" s="106"/>
      <c r="E11" s="109">
        <f>E6+E8*(E7-E6)</f>
        <v>0.13800000000000001</v>
      </c>
      <c r="F11" s="110"/>
    </row>
    <row r="12" spans="2:6" x14ac:dyDescent="0.25">
      <c r="B12" s="15"/>
      <c r="C12" s="15"/>
      <c r="D12" s="15"/>
      <c r="E12" s="15"/>
      <c r="F12" s="15"/>
    </row>
  </sheetData>
  <mergeCells count="17">
    <mergeCell ref="B8:D8"/>
    <mergeCell ref="E8:F8"/>
    <mergeCell ref="B12:D12"/>
    <mergeCell ref="E12:F12"/>
    <mergeCell ref="B9:D9"/>
    <mergeCell ref="E9:F9"/>
    <mergeCell ref="B10:D10"/>
    <mergeCell ref="B11:D11"/>
    <mergeCell ref="E10:F10"/>
    <mergeCell ref="E11:F11"/>
    <mergeCell ref="B7:D7"/>
    <mergeCell ref="E7:F7"/>
    <mergeCell ref="B2:F2"/>
    <mergeCell ref="B4:F4"/>
    <mergeCell ref="B5:F5"/>
    <mergeCell ref="B6:D6"/>
    <mergeCell ref="E6:F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AE004-B134-4DB0-942F-3595BE674117}">
  <dimension ref="B2:F9"/>
  <sheetViews>
    <sheetView workbookViewId="0">
      <selection activeCell="F13" sqref="F13"/>
    </sheetView>
  </sheetViews>
  <sheetFormatPr defaultRowHeight="15" x14ac:dyDescent="0.25"/>
  <cols>
    <col min="4" max="4" width="22.7109375" customWidth="1"/>
    <col min="6" max="6" width="16.140625" customWidth="1"/>
  </cols>
  <sheetData>
    <row r="2" spans="2:6" x14ac:dyDescent="0.25">
      <c r="B2" s="2" t="s">
        <v>60</v>
      </c>
      <c r="C2" s="3"/>
      <c r="D2" s="3"/>
      <c r="E2" s="3"/>
      <c r="F2" s="4"/>
    </row>
    <row r="4" spans="2:6" x14ac:dyDescent="0.25">
      <c r="B4" s="13" t="s">
        <v>61</v>
      </c>
      <c r="C4" s="13"/>
      <c r="D4" s="13"/>
      <c r="E4" s="13"/>
      <c r="F4" s="13"/>
    </row>
    <row r="5" spans="2:6" ht="6" customHeight="1" x14ac:dyDescent="0.25">
      <c r="B5" s="11"/>
      <c r="C5" s="11"/>
      <c r="D5" s="11"/>
      <c r="E5" s="11"/>
      <c r="F5" s="11"/>
    </row>
    <row r="6" spans="2:6" x14ac:dyDescent="0.25">
      <c r="B6" s="96" t="s">
        <v>53</v>
      </c>
      <c r="C6" s="96"/>
      <c r="D6" s="96"/>
      <c r="E6" s="97">
        <v>0.06</v>
      </c>
      <c r="F6" s="98"/>
    </row>
    <row r="7" spans="2:6" x14ac:dyDescent="0.25">
      <c r="B7" s="96" t="s">
        <v>54</v>
      </c>
      <c r="C7" s="96"/>
      <c r="D7" s="96"/>
      <c r="E7" s="97">
        <v>0.12</v>
      </c>
      <c r="F7" s="97"/>
    </row>
    <row r="8" spans="2:6" x14ac:dyDescent="0.25">
      <c r="B8" s="99" t="s">
        <v>55</v>
      </c>
      <c r="C8" s="100"/>
      <c r="D8" s="101"/>
      <c r="E8" s="102">
        <v>1.2</v>
      </c>
      <c r="F8" s="103"/>
    </row>
    <row r="9" spans="2:6" x14ac:dyDescent="0.25">
      <c r="B9" s="104" t="s">
        <v>62</v>
      </c>
      <c r="C9" s="105"/>
      <c r="D9" s="106"/>
      <c r="E9" s="109">
        <f>E6+E8*(E7-E6)</f>
        <v>0.13200000000000001</v>
      </c>
      <c r="F9" s="110"/>
    </row>
  </sheetData>
  <mergeCells count="11">
    <mergeCell ref="B8:D8"/>
    <mergeCell ref="E8:F8"/>
    <mergeCell ref="B9:D9"/>
    <mergeCell ref="E9:F9"/>
    <mergeCell ref="B2:F2"/>
    <mergeCell ref="B4:F4"/>
    <mergeCell ref="B5:F5"/>
    <mergeCell ref="B6:D6"/>
    <mergeCell ref="E6:F6"/>
    <mergeCell ref="B7:D7"/>
    <mergeCell ref="E7:F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EE93-C09E-436B-9108-607E8C831A66}">
  <dimension ref="B2:D20"/>
  <sheetViews>
    <sheetView workbookViewId="0">
      <selection activeCell="F11" sqref="F11"/>
    </sheetView>
  </sheetViews>
  <sheetFormatPr defaultRowHeight="15" x14ac:dyDescent="0.25"/>
  <cols>
    <col min="2" max="2" width="18.28515625" customWidth="1"/>
    <col min="3" max="3" width="23.7109375" customWidth="1"/>
    <col min="4" max="4" width="25.42578125" customWidth="1"/>
  </cols>
  <sheetData>
    <row r="2" spans="2:4" x14ac:dyDescent="0.25">
      <c r="B2" s="12" t="s">
        <v>63</v>
      </c>
      <c r="C2" s="12"/>
      <c r="D2" s="12"/>
    </row>
    <row r="4" spans="2:4" x14ac:dyDescent="0.25">
      <c r="B4" s="13" t="s">
        <v>64</v>
      </c>
      <c r="C4" s="13"/>
      <c r="D4" s="13"/>
    </row>
    <row r="5" spans="2:4" ht="6.75" customHeight="1" x14ac:dyDescent="0.25">
      <c r="B5" s="16"/>
      <c r="C5" s="16"/>
      <c r="D5" s="16"/>
    </row>
    <row r="6" spans="2:4" x14ac:dyDescent="0.25">
      <c r="B6" s="111" t="s">
        <v>65</v>
      </c>
      <c r="C6" s="111" t="s">
        <v>66</v>
      </c>
      <c r="D6" s="111" t="s">
        <v>54</v>
      </c>
    </row>
    <row r="7" spans="2:4" x14ac:dyDescent="0.25">
      <c r="B7" s="112">
        <v>1</v>
      </c>
      <c r="C7" s="113">
        <v>0.03</v>
      </c>
      <c r="D7" s="113">
        <v>0.02</v>
      </c>
    </row>
    <row r="8" spans="2:4" x14ac:dyDescent="0.25">
      <c r="B8" s="112">
        <v>2</v>
      </c>
      <c r="C8" s="113">
        <v>0.04</v>
      </c>
      <c r="D8" s="113">
        <v>0.03</v>
      </c>
    </row>
    <row r="9" spans="2:4" x14ac:dyDescent="0.25">
      <c r="B9" s="112">
        <v>3</v>
      </c>
      <c r="C9" s="113">
        <v>-0.01</v>
      </c>
      <c r="D9" s="113">
        <v>-0.02</v>
      </c>
    </row>
    <row r="10" spans="2:4" x14ac:dyDescent="0.25">
      <c r="B10" s="112">
        <v>4</v>
      </c>
      <c r="C10" s="113">
        <v>0.05</v>
      </c>
      <c r="D10" s="113">
        <v>0.03</v>
      </c>
    </row>
    <row r="11" spans="2:4" x14ac:dyDescent="0.25">
      <c r="B11" s="112">
        <v>5</v>
      </c>
      <c r="C11" s="113">
        <v>0.02</v>
      </c>
      <c r="D11" s="113">
        <v>0.01</v>
      </c>
    </row>
    <row r="12" spans="2:4" x14ac:dyDescent="0.25">
      <c r="B12" s="114">
        <v>6</v>
      </c>
      <c r="C12" s="115">
        <v>0.06</v>
      </c>
      <c r="D12" s="115">
        <v>0.04</v>
      </c>
    </row>
    <row r="13" spans="2:4" ht="6" customHeight="1" x14ac:dyDescent="0.25">
      <c r="B13" s="116"/>
      <c r="C13" s="116"/>
      <c r="D13" s="116"/>
    </row>
    <row r="14" spans="2:4" x14ac:dyDescent="0.25">
      <c r="B14" s="117" t="s">
        <v>67</v>
      </c>
      <c r="C14" s="117"/>
      <c r="D14" s="118">
        <f>_xlfn.COVARIANCE.P(C7:C12,D7:D12)</f>
        <v>4.3611111111111107E-4</v>
      </c>
    </row>
    <row r="15" spans="2:4" ht="5.25" customHeight="1" x14ac:dyDescent="0.25">
      <c r="B15" s="119"/>
      <c r="C15" s="119"/>
      <c r="D15" s="119"/>
    </row>
    <row r="16" spans="2:4" x14ac:dyDescent="0.25">
      <c r="B16" s="117" t="s">
        <v>68</v>
      </c>
      <c r="C16" s="117"/>
      <c r="D16" s="120">
        <f>_xlfn.VAR.P(D7:D12)</f>
        <v>3.8055555555555564E-4</v>
      </c>
    </row>
    <row r="17" spans="2:4" ht="6.75" customHeight="1" x14ac:dyDescent="0.25">
      <c r="B17" s="121"/>
      <c r="C17" s="121"/>
      <c r="D17" s="121"/>
    </row>
    <row r="18" spans="2:4" x14ac:dyDescent="0.25">
      <c r="B18" s="122" t="s">
        <v>69</v>
      </c>
      <c r="C18" s="122"/>
      <c r="D18" s="123">
        <f>D14/D16</f>
        <v>1.1459854014598536</v>
      </c>
    </row>
    <row r="19" spans="2:4" ht="6.75" customHeight="1" x14ac:dyDescent="0.25">
      <c r="B19" s="119"/>
      <c r="C19" s="119"/>
      <c r="D19" s="119"/>
    </row>
    <row r="20" spans="2:4" x14ac:dyDescent="0.25">
      <c r="B20" s="122" t="s">
        <v>69</v>
      </c>
      <c r="C20" s="122"/>
      <c r="D20" s="123">
        <f>SLOPE(C7:C12,D7:D12)</f>
        <v>1.1459854014598538</v>
      </c>
    </row>
  </sheetData>
  <mergeCells count="11">
    <mergeCell ref="B20:C20"/>
    <mergeCell ref="B13:D13"/>
    <mergeCell ref="B15:D15"/>
    <mergeCell ref="B17:D17"/>
    <mergeCell ref="B19:D19"/>
    <mergeCell ref="B18:C18"/>
    <mergeCell ref="B2:D2"/>
    <mergeCell ref="B4:D4"/>
    <mergeCell ref="B5:D5"/>
    <mergeCell ref="B14:C14"/>
    <mergeCell ref="B16:C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B377-7B2B-4526-AAAC-F67AC1F25812}">
  <dimension ref="B2:F12"/>
  <sheetViews>
    <sheetView workbookViewId="0">
      <selection activeCell="I20" sqref="I20"/>
    </sheetView>
  </sheetViews>
  <sheetFormatPr defaultRowHeight="15" x14ac:dyDescent="0.25"/>
  <cols>
    <col min="3" max="3" width="9.7109375" customWidth="1"/>
    <col min="4" max="4" width="22.7109375" customWidth="1"/>
    <col min="6" max="6" width="19.7109375" customWidth="1"/>
  </cols>
  <sheetData>
    <row r="2" spans="2:6" x14ac:dyDescent="0.25">
      <c r="B2" s="2" t="s">
        <v>70</v>
      </c>
      <c r="C2" s="3"/>
      <c r="D2" s="3"/>
      <c r="E2" s="3"/>
      <c r="F2" s="4"/>
    </row>
    <row r="4" spans="2:6" x14ac:dyDescent="0.25">
      <c r="B4" s="29" t="s">
        <v>71</v>
      </c>
      <c r="C4" s="29"/>
      <c r="D4" s="29"/>
      <c r="E4" s="29"/>
      <c r="F4" s="29"/>
    </row>
    <row r="5" spans="2:6" ht="8.25" customHeight="1" x14ac:dyDescent="0.25">
      <c r="B5" s="11"/>
      <c r="C5" s="11"/>
      <c r="D5" s="11"/>
      <c r="E5" s="11"/>
      <c r="F5" s="11"/>
    </row>
    <row r="6" spans="2:6" x14ac:dyDescent="0.25">
      <c r="B6" s="124" t="s">
        <v>72</v>
      </c>
      <c r="C6" s="124"/>
      <c r="D6" s="124"/>
      <c r="E6" s="125">
        <v>0.1</v>
      </c>
      <c r="F6" s="125"/>
    </row>
    <row r="7" spans="2:6" x14ac:dyDescent="0.25">
      <c r="B7" s="124" t="s">
        <v>73</v>
      </c>
      <c r="C7" s="124"/>
      <c r="D7" s="124"/>
      <c r="E7" s="125">
        <v>0.12</v>
      </c>
      <c r="F7" s="125"/>
    </row>
    <row r="8" spans="2:6" x14ac:dyDescent="0.25">
      <c r="B8" s="126" t="s">
        <v>74</v>
      </c>
      <c r="C8" s="127"/>
      <c r="D8" s="128"/>
      <c r="E8" s="129">
        <v>8.5000000000000006E-2</v>
      </c>
      <c r="F8" s="130"/>
    </row>
    <row r="9" spans="2:6" x14ac:dyDescent="0.25">
      <c r="B9" s="131" t="s">
        <v>75</v>
      </c>
      <c r="C9" s="132"/>
      <c r="D9" s="133"/>
      <c r="E9" s="129">
        <v>0.3</v>
      </c>
      <c r="F9" s="130"/>
    </row>
    <row r="10" spans="2:6" x14ac:dyDescent="0.25">
      <c r="B10" s="134" t="s">
        <v>76</v>
      </c>
      <c r="C10" s="135"/>
      <c r="D10" s="136"/>
      <c r="E10" s="137">
        <f>E6*(1-E9)</f>
        <v>6.9999999999999993E-2</v>
      </c>
      <c r="F10" s="138"/>
    </row>
    <row r="11" spans="2:6" x14ac:dyDescent="0.25">
      <c r="B11" s="139" t="s">
        <v>77</v>
      </c>
      <c r="C11" s="140"/>
      <c r="D11" s="141"/>
      <c r="E11" s="142">
        <f>E7*(1-E9)</f>
        <v>8.3999999999999991E-2</v>
      </c>
      <c r="F11" s="143"/>
    </row>
    <row r="12" spans="2:6" x14ac:dyDescent="0.25">
      <c r="B12" s="144" t="s">
        <v>78</v>
      </c>
      <c r="C12" s="145"/>
      <c r="D12" s="145"/>
      <c r="E12" s="146">
        <f>E8*(1-E9)</f>
        <v>5.9499999999999997E-2</v>
      </c>
      <c r="F12" s="146"/>
    </row>
  </sheetData>
  <mergeCells count="17">
    <mergeCell ref="B11:D11"/>
    <mergeCell ref="E11:F11"/>
    <mergeCell ref="B12:D12"/>
    <mergeCell ref="E12:F12"/>
    <mergeCell ref="B8:D8"/>
    <mergeCell ref="E8:F8"/>
    <mergeCell ref="B9:D9"/>
    <mergeCell ref="E9:F9"/>
    <mergeCell ref="B10:D10"/>
    <mergeCell ref="E10:F10"/>
    <mergeCell ref="B7:D7"/>
    <mergeCell ref="E7:F7"/>
    <mergeCell ref="B2:F2"/>
    <mergeCell ref="B4:F4"/>
    <mergeCell ref="B5:F5"/>
    <mergeCell ref="B6:D6"/>
    <mergeCell ref="E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Zero-Growth Model</vt:lpstr>
      <vt:lpstr>Constant Growth Mondel</vt:lpstr>
      <vt:lpstr>Multi-Stage Growth Model</vt:lpstr>
      <vt:lpstr>Total Payout Model</vt:lpstr>
      <vt:lpstr>Free Cash Flow Model</vt:lpstr>
      <vt:lpstr>FCF Comparable Firms</vt:lpstr>
      <vt:lpstr>CAPM</vt:lpstr>
      <vt:lpstr>Risk Premium</vt:lpstr>
      <vt:lpstr>Equity Cost of Capital</vt:lpstr>
      <vt:lpstr>Beta Estimation</vt:lpstr>
      <vt:lpstr>Debt Cost of Capital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Sandilyaditya</dc:creator>
  <cp:keywords/>
  <dc:description/>
  <cp:lastModifiedBy>sandy sharma</cp:lastModifiedBy>
  <cp:revision/>
  <dcterms:created xsi:type="dcterms:W3CDTF">2026-01-18T18:10:08Z</dcterms:created>
  <dcterms:modified xsi:type="dcterms:W3CDTF">2026-01-22T15:55:43Z</dcterms:modified>
  <cp:category/>
  <cp:contentStatus/>
</cp:coreProperties>
</file>